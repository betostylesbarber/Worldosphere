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lendar" sheetId="2" state="visible" r:id="rId2"/>
    <sheet xmlns:r="http://schemas.openxmlformats.org/officeDocument/2006/relationships" name="Fallback calendar" sheetId="3" state="visible" r:id="rId3"/>
    <sheet xmlns:r="http://schemas.openxmlformats.org/officeDocument/2006/relationships" name="Briefs" sheetId="4" state="visible" r:id="rId4"/>
    <sheet xmlns:r="http://schemas.openxmlformats.org/officeDocument/2006/relationships" name="Reserves" sheetId="5" state="visible" r:id="rId5"/>
    <sheet xmlns:r="http://schemas.openxmlformats.org/officeDocument/2006/relationships" name="Topic pool" sheetId="6" state="visible" r:id="rId6"/>
    <sheet xmlns:r="http://schemas.openxmlformats.org/officeDocument/2006/relationships" name="Claims" sheetId="7" state="visible" r:id="rId7"/>
    <sheet xmlns:r="http://schemas.openxmlformats.org/officeDocument/2006/relationships" name="Schedule" sheetId="8" state="visible" r:id="rId8"/>
    <sheet xmlns:r="http://schemas.openxmlformats.org/officeDocument/2006/relationships" name="Pilot hours" sheetId="9" state="visible" r:id="rId9"/>
    <sheet xmlns:r="http://schemas.openxmlformats.org/officeDocument/2006/relationships" name="Tracking" sheetId="10" state="visible" r:id="rId10"/>
    <sheet xmlns:r="http://schemas.openxmlformats.org/officeDocument/2006/relationships" name="QA log" sheetId="11" state="visible" r:id="rId11"/>
    <sheet xmlns:r="http://schemas.openxmlformats.org/officeDocument/2006/relationships" name="Change log" sheetId="12" state="visible" r:id="rId12"/>
    <sheet xmlns:r="http://schemas.openxmlformats.org/officeDocument/2006/relationships" name="Asset register" sheetId="13" state="visible" r:id="rId13"/>
  </sheets>
  <definedNames>
    <definedName name="_xlnm._FilterDatabase" localSheetId="1" hidden="1">'Calendar'!$A$1:$S$31</definedName>
    <definedName name="_xlnm._FilterDatabase" localSheetId="2" hidden="1">'Fallback calendar'!$A$1:$H$31</definedName>
    <definedName name="_xlnm._FilterDatabase" localSheetId="3" hidden="1">'Briefs'!$A$1:$O$31</definedName>
    <definedName name="_xlnm._FilterDatabase" localSheetId="4" hidden="1">'Reserves'!$A$1:$G$11</definedName>
    <definedName name="_xlnm._FilterDatabase" localSheetId="5" hidden="1">'Topic pool'!$A$1:$Q$95</definedName>
    <definedName name="_xlnm._FilterDatabase" localSheetId="6" hidden="1">'Claims'!$A$1:$N$72</definedName>
    <definedName name="_xlnm._FilterDatabase" localSheetId="7" hidden="1">'Schedule'!$A$1:$N$31</definedName>
    <definedName name="_xlnm._FilterDatabase" localSheetId="8" hidden="1">'Pilot hours'!$A$1:$F$28</definedName>
    <definedName name="_xlnm._FilterDatabase" localSheetId="9" hidden="1">'Tracking'!$A$1:$V$91</definedName>
    <definedName name="_xlnm._FilterDatabase" localSheetId="10" hidden="1">'QA log'!$A$1:$L$31</definedName>
    <definedName name="_xlnm._FilterDatabase" localSheetId="11" hidden="1">'Change log'!$A$1:$E$13</definedName>
    <definedName name="_xlnm._FilterDatabase" localSheetId="12" hidden="1">'Asset register'!$A$1:$K$11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EBDD"/>
    </font>
  </fonts>
  <fills count="4">
    <fill>
      <patternFill/>
    </fill>
    <fill>
      <patternFill patternType="gray125"/>
    </fill>
    <fill>
      <patternFill patternType="solid">
        <fgColor rgb="00161A22"/>
      </patternFill>
    </fill>
    <fill>
      <patternFill patternType="solid">
        <fgColor rgb="00FFF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c r="A1" t="inlineStr">
        <is>
          <t>Worldosphere launch workbook — generated from the planning package (tools/gen_workbook.py). Editable: add your own rows freely.</t>
        </is>
      </c>
    </row>
    <row r="2">
      <c r="A2" t="inlineStr">
        <is>
          <t>Sheets: Calendar · Fallback calendar · Briefs · Reserves · Topic pool · Claims · Schedule · Pilot hours · Tracking · QA log · Change log · Asset register.</t>
        </is>
      </c>
    </row>
    <row r="3">
      <c r="A3" t="inlineStr">
        <is>
          <t>Yellow cells are for you to fill in. Formula columns (rates per 1,000 engaged views) calculate automatically.</t>
        </is>
      </c>
    </row>
    <row r="4">
      <c r="A4" t="inlineStr">
        <is>
          <t>Definitions and denominators: 21_Measurement_and_Iteration_Plan.md §1. Nothing in this workbook is a prediction or a published metric.</t>
        </is>
      </c>
    </row>
    <row r="5">
      <c r="A5" t="inlineStr">
        <is>
          <t>Source of truth for regenerated sheets: tools/calendar_data.py, tools/ledger_data.py, data/*.csv. If you edit those, re-run the generator into a NEW file name so your filled-in sheets are not overwritten.</t>
        </is>
      </c>
    </row>
    <row r="6">
      <c r="A6" t="inlineStr">
        <is>
          <t>Generated: 2026-10-14 (planning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45" customWidth="1" min="4" max="4"/>
    <col width="56" customWidth="1" min="5" max="5"/>
    <col width="16" customWidth="1" min="6" max="6"/>
    <col width="45" customWidth="1" min="7" max="7"/>
    <col width="45" customWidth="1" min="8" max="8"/>
    <col width="13" customWidth="1" min="9" max="9"/>
    <col width="50" customWidth="1" min="10" max="10"/>
    <col width="24" customWidth="1" min="11" max="11"/>
    <col width="60" customWidth="1" min="12" max="12"/>
    <col width="10" customWidth="1" min="13" max="13"/>
    <col width="19" customWidth="1" min="14" max="14"/>
    <col width="28" customWidth="1" min="15" max="15"/>
    <col width="40" customWidth="1" min="16" max="16"/>
    <col width="60" customWidth="1" min="17" max="17"/>
    <col width="35" customWidth="1" min="18" max="18"/>
    <col width="60" customWidth="1" min="19" max="19"/>
  </cols>
  <sheetData>
    <row r="1">
      <c r="A1" s="1" t="inlineStr">
        <is>
          <t>Day</t>
        </is>
      </c>
      <c r="B1" s="1" t="inlineStr">
        <is>
          <t>Date</t>
        </is>
      </c>
      <c r="C1" s="1" t="inlineStr">
        <is>
          <t>Weekday</t>
        </is>
      </c>
      <c r="D1" s="1" t="inlineStr">
        <is>
          <t>Topic and angle</t>
        </is>
      </c>
      <c r="E1" s="1" t="inlineStr">
        <is>
          <t>Recommended title</t>
        </is>
      </c>
      <c r="F1" s="1" t="inlineStr">
        <is>
          <t>Content pillar</t>
        </is>
      </c>
      <c r="G1" s="1" t="inlineStr">
        <is>
          <t>Chosen hook</t>
        </is>
      </c>
      <c r="H1" s="1" t="inlineStr">
        <is>
          <t>Main payoff</t>
        </is>
      </c>
      <c r="I1" s="1" t="inlineStr">
        <is>
          <t>Target duration</t>
        </is>
      </c>
      <c r="J1" s="1" t="inlineStr">
        <is>
          <t>Reason for placement</t>
        </is>
      </c>
      <c r="K1" s="1" t="inlineStr">
        <is>
          <t>Production complexity</t>
        </is>
      </c>
      <c r="L1" s="1" t="inlineStr">
        <is>
          <t>Main test</t>
        </is>
      </c>
      <c r="M1" s="1" t="inlineStr">
        <is>
          <t>Brief ID</t>
        </is>
      </c>
      <c r="N1" s="1" t="inlineStr">
        <is>
          <t>Lead</t>
        </is>
      </c>
      <c r="O1" s="1" t="inlineStr">
        <is>
          <t>Recipe</t>
        </is>
      </c>
      <c r="P1" s="1" t="inlineStr">
        <is>
          <t>Verdict</t>
        </is>
      </c>
      <c r="Q1" s="1" t="inlineStr">
        <is>
          <t>Kits</t>
        </is>
      </c>
      <c r="R1" s="1" t="inlineStr">
        <is>
          <t>Claims</t>
        </is>
      </c>
      <c r="S1" s="1" t="inlineStr">
        <is>
          <t>Reserve replacement</t>
        </is>
      </c>
    </row>
    <row r="2">
      <c r="A2" s="2" t="inlineStr">
        <is>
          <t>1</t>
        </is>
      </c>
      <c r="B2" s="2" t="inlineStr">
        <is>
          <t>2026-10-31</t>
        </is>
      </c>
      <c r="C2" s="2" t="inlineStr">
        <is>
          <t>Sat</t>
        </is>
      </c>
      <c r="D2" s="2" t="inlineStr">
        <is>
          <t>Halloween outbreak: in a street full of zombie costumes, the only reliable tell is breath in the cold air</t>
        </is>
      </c>
      <c r="E2" s="2" t="inlineStr">
        <is>
          <t>Zombie Outbreak on Halloween: How Do You Tell Who's in Costume?</t>
        </is>
      </c>
      <c r="F2" s="2" t="inlineStr">
        <is>
          <t>P1 OUTBREAK</t>
        </is>
      </c>
      <c r="G2" s="2" t="inlineStr">
        <is>
          <t>Diegetic contradiction: a city alert reading 'AVOID ANYONE ACTING STRANGELY' held up against a street full of costumed zombies</t>
        </is>
      </c>
      <c r="H2" s="2" t="inlineStr">
        <is>
          <t>The breath test sorts costumes from the Turned; Kai gets Mia home; final image: a hand pressed to the cold window leaves no fog</t>
        </is>
      </c>
      <c r="I2" s="2" t="inlineStr">
        <is>
          <t>60–64 s</t>
        </is>
      </c>
      <c r="J2" s="2" t="inlineStr">
        <is>
          <t>Halloween is the single most relevant day of the year for this premise and falls on a Saturday. It shows the whole channel promise at once: an ordinary place, a clever rule-based decision, the Fork, the Verdict and the cast.</t>
        </is>
      </c>
      <c r="K2" s="2" t="inlineStr">
        <is>
          <t>H (pre-built before launch)</t>
        </is>
      </c>
      <c r="L2" s="2" t="inlineStr">
        <is>
          <t>Diegetic-contradiction hook + planted 'rewatch' details (non-breathing figures in early shots)</t>
        </is>
      </c>
      <c r="M2" s="2" t="inlineStr">
        <is>
          <t>WS-001-BRIEF</t>
        </is>
      </c>
      <c r="N2" s="2" t="inlineStr">
        <is>
          <t>Kai + Mia</t>
        </is>
      </c>
      <c r="O2" s="2" t="inlineStr">
        <is>
          <t>R-A Location Outbreak</t>
        </is>
      </c>
      <c r="P2" s="2" t="inlineStr">
        <is>
          <t>SURVIVED — He watched their breath, not their costumes.</t>
        </is>
      </c>
      <c r="Q2" s="2" t="inlineStr">
        <is>
          <t>K1 suburban night street + house; K10 crowd/Turned; K9 HUD</t>
        </is>
      </c>
      <c r="R2" s="2" t="inlineStr">
        <is>
          <t>C-101, C-102, C-103, C-104</t>
        </is>
      </c>
      <c r="S2" s="2" t="inlineStr">
        <is>
          <t>R04 Gas Station, 2 A.M. (if launch slips past Halloween, Day 1 becomes WS-003)</t>
        </is>
      </c>
    </row>
    <row r="3">
      <c r="A3" s="2" t="inlineStr">
        <is>
          <t>2</t>
        </is>
      </c>
      <c r="B3" s="2" t="inlineStr">
        <is>
          <t>2026-11-01</t>
        </is>
      </c>
      <c r="C3" s="2" t="inlineStr">
        <is>
          <t>Sun</t>
        </is>
      </c>
      <c r="D3" s="2" t="inlineStr">
        <is>
          <t>A car goes into water: the door won't open, and the window is the way out within about a minute</t>
        </is>
      </c>
      <c r="E3" s="2" t="inlineStr">
        <is>
          <t>Your Car Is Sinking. You Have About One Minute.</t>
        </is>
      </c>
      <c r="F3" s="2" t="inlineStr">
        <is>
          <t>P2 REAL RULE</t>
        </is>
      </c>
      <c r="G3" s="2" t="inlineStr">
        <is>
          <t>Frame 0 is underwater: the car is nose-down, Owen's face is lit by the dash, and a timer reads ≈1:00</t>
        </is>
      </c>
      <c r="H3" s="2" t="inlineStr">
        <is>
          <t>Owen tries the door (pinned by water pressure), switches to the side window with his keyring punch and escapes before the waterline reaches the glass</t>
        </is>
      </c>
      <c r="I3" s="2" t="inlineStr">
        <is>
          <t>56–60 s</t>
        </is>
      </c>
      <c r="J3" s="2" t="inlineStr">
        <is>
          <t>It is a universal fear with immediately useful, verified facts (C-201–206). It shows the channel isn't only zombies, while keeping the decision format. 1 Nov is the first evening after US clocks fall back, which explains the early darkness.</t>
        </is>
      </c>
      <c r="K3" s="2" t="inlineStr">
        <is>
          <t>M</t>
        </is>
      </c>
      <c r="L3" s="2" t="inlineStr">
        <is>
          <t>Countdown HUD opening in the middle of the event; Real Rule card</t>
        </is>
      </c>
      <c r="M3" s="2" t="inlineStr">
        <is>
          <t>WS-002-BRIEF</t>
        </is>
      </c>
      <c r="N3" s="2" t="inlineStr">
        <is>
          <t>Owen</t>
        </is>
      </c>
      <c r="O3" s="2" t="inlineStr">
        <is>
          <t>R-D Countdown</t>
        </is>
      </c>
      <c r="P3" s="2" t="inlineStr">
        <is>
          <t>ESCAPED — He went for the window, not the door. REAL RULE: Car in water: get out through a side window in the first minute.</t>
        </is>
      </c>
      <c r="Q3" s="2" t="inlineStr">
        <is>
          <t>K2 car interior/road/water; K9 HUD</t>
        </is>
      </c>
      <c r="R3" s="2" t="inlineStr">
        <is>
          <t>C-201, C-202, C-203, C-204, C-205 (BLOCKING order check), C-206, C-207</t>
        </is>
      </c>
      <c r="S3" s="2" t="inlineStr">
        <is>
          <t>R02 Six Inches of Water</t>
        </is>
      </c>
    </row>
    <row r="4">
      <c r="A4" s="2" t="inlineStr">
        <is>
          <t>3</t>
        </is>
      </c>
      <c r="B4" s="2" t="inlineStr">
        <is>
          <t>2026-11-02</t>
        </is>
      </c>
      <c r="C4" s="2" t="inlineStr">
        <is>
          <t>Mon</t>
        </is>
      </c>
      <c r="D4" s="2" t="inlineStr">
        <is>
          <t>Everyone says the warehouse superstore is the best place to survive; that's exactly why it isn't</t>
        </is>
      </c>
      <c r="E4" s="2" t="inlineStr">
        <is>
          <t>Everyone Says the Superstore Is the Best Place to Survive</t>
        </is>
      </c>
      <c r="F4" s="2" t="inlineStr">
        <is>
          <t>P1 OUTBREAK</t>
        </is>
      </c>
      <c r="G4" s="2" t="inlineStr">
        <is>
          <t>Cutaway of a giant store at dawn as hundreds of headlights converge on it: 'Everyone says the superstore is the best place to survive. Everyone else says it too.'</t>
        </is>
      </c>
      <c r="H4" s="2" t="inlineStr">
        <is>
          <t>Tess drives away from the store with a family. From the ridge, the store's noise Sphere pulls in the whole town; her delivery van is full of supplies</t>
        </is>
      </c>
      <c r="I4" s="2" t="inlineStr">
        <is>
          <t>58–62 s</t>
        </is>
      </c>
      <c r="J4" s="2" t="inlineStr">
        <is>
          <t>It's the most familiar zombie debate after 'where would you hide'. Using a different lead and setting from Days 1–2 shows the anthology cast. The daylight palette contrasts with Day 1's night.</t>
        </is>
      </c>
      <c r="K4" s="2" t="inlineStr">
        <is>
          <t>H (pre-built before launch)</t>
        </is>
      </c>
      <c r="L4" s="2" t="inlineStr">
        <is>
          <t>'Everyone says…' debate premise: comment volume and shares</t>
        </is>
      </c>
      <c r="M4" s="2" t="inlineStr">
        <is>
          <t>WS-003-BRIEF</t>
        </is>
      </c>
      <c r="N4" s="2" t="inlineStr">
        <is>
          <t>Tess</t>
        </is>
      </c>
      <c r="O4" s="2" t="inlineStr">
        <is>
          <t>R-A Location Outbreak</t>
        </is>
      </c>
      <c r="P4" s="2" t="inlineStr">
        <is>
          <t>ESCAPED — The best spot was the one nobody picked.</t>
        </is>
      </c>
      <c r="Q4" s="2" t="inlineStr">
        <is>
          <t>K3 store + loading dock + lot; K10 crowd; K9 HUD/map</t>
        </is>
      </c>
      <c r="R4" s="2" t="inlineStr">
        <is>
          <t>C-012, C-013 (Sphere scale), C-102/103 rules (WR-03, WR-07)</t>
        </is>
      </c>
      <c r="S4" s="2" t="inlineStr">
        <is>
          <t>R03 Day 12: A Knock on the Hatch</t>
        </is>
      </c>
    </row>
    <row r="5">
      <c r="A5" s="2" t="inlineStr">
        <is>
          <t>4</t>
        </is>
      </c>
      <c r="B5" s="2" t="inlineStr">
        <is>
          <t>2026-11-03</t>
        </is>
      </c>
      <c r="C5" s="2" t="inlineStr">
        <is>
          <t>Tue</t>
        </is>
      </c>
      <c r="D5" s="2" t="inlineStr">
        <is>
          <t>Earthquake: why the doorway is a myth in modern buildings, and what to do instead</t>
        </is>
      </c>
      <c r="E5" s="2" t="inlineStr">
        <is>
          <t>Why You Shouldn't Run to the Doorway in an Earthquake</t>
        </is>
      </c>
      <c r="F5" s="2" t="inlineStr">
        <is>
          <t>P2 REAL RULE</t>
        </is>
      </c>
      <c r="G5" s="2" t="inlineStr">
        <is>
          <t>Frame 0: café, cups rattling, Kai halfway to a doorway. Hook card 'THE DOORWAY MYTH'</t>
        </is>
      </c>
      <c r="H5" s="2" t="inlineStr">
        <is>
          <t>Kai drops under a table and holds on as it shifts; the doorway door swings shut on the spot he was heading for; then an aftershock</t>
        </is>
      </c>
      <c r="I5" s="2" t="inlineStr">
        <is>
          <t>48–52 s</t>
        </is>
      </c>
      <c r="J5" s="2" t="inlineStr">
        <is>
          <t>A well-known myth with fully verified facts (C-401–404). It is quick to produce and keeps week 1 alternating between fiction and real.</t>
        </is>
      </c>
      <c r="K5" s="2" t="inlineStr">
        <is>
          <t>L</t>
        </is>
      </c>
      <c r="L5" s="2" t="inlineStr">
        <is>
          <t>Myth-busting hook in P2 (compare with Day 8)</t>
        </is>
      </c>
      <c r="M5" s="2" t="inlineStr">
        <is>
          <t>WS-004-BRIEF</t>
        </is>
      </c>
      <c r="N5" s="2" t="inlineStr">
        <is>
          <t>Kai</t>
        </is>
      </c>
      <c r="O5" s="2" t="inlineStr">
        <is>
          <t>R-B Real Rule</t>
        </is>
      </c>
      <c r="P5" s="2" t="inlineStr">
        <is>
          <t>SAFE — He dropped, covered and held on. REAL RULE: Earthquake: Drop, Cover, Hold On — not the doorway.</t>
        </is>
      </c>
      <c r="Q5" s="2" t="inlineStr">
        <is>
          <t>K4 café interior (reusable as diner/café later); K9</t>
        </is>
      </c>
      <c r="R5" s="2" t="inlineStr">
        <is>
          <t>C-401, C-402, C-403, C-404</t>
        </is>
      </c>
      <c r="S5" s="2" t="inlineStr">
        <is>
          <t>R01 Lightning</t>
        </is>
      </c>
    </row>
    <row r="6">
      <c r="A6" s="2" t="inlineStr">
        <is>
          <t>5</t>
        </is>
      </c>
      <c r="B6" s="2" t="inlineStr">
        <is>
          <t>2026-11-04</t>
        </is>
      </c>
      <c r="C6" s="2" t="inlineStr">
        <is>
          <t>Wed</t>
        </is>
      </c>
      <c r="D6" s="2" t="inlineStr">
        <is>
          <t>Winter-storm blackout: a neighbour's generator in a half-open garage fills the house with carbon monoxide</t>
        </is>
      </c>
      <c r="E6" s="2" t="inlineStr">
        <is>
          <t>The Blackout Mistake That's More Dangerous Than the Storm</t>
        </is>
      </c>
      <c r="F6" s="2" t="inlineStr">
        <is>
          <t>P2 REAL RULE</t>
        </is>
      </c>
      <c r="G6" s="2" t="inlineStr">
        <is>
          <t>Frame 0: a dark snowy street with one warm, glowing house; its garage door is half open with a generator running; a violet Sphere seeps into the rooms</t>
        </is>
      </c>
      <c r="H6" s="2" t="inlineStr">
        <is>
          <t>Owen gets the family into fresh air first, calls for help and moves the generator at least 20 ft away</t>
        </is>
      </c>
      <c r="I6" s="2" t="inlineStr">
        <is>
          <t>56–60 s</t>
        </is>
      </c>
      <c r="J6" s="2" t="inlineStr">
        <is>
          <t>It's seasonal (early winter storms) and verified (C-501–504). The house/suburb kit is reused from Day 1. It is the first Owen 'expert' moment.</t>
        </is>
      </c>
      <c r="K6" s="2" t="inlineStr">
        <is>
          <t>M</t>
        </is>
      </c>
      <c r="L6" s="2" t="inlineStr">
        <is>
          <t>Gas (violet) Sphere comprehension; warning-style hook</t>
        </is>
      </c>
      <c r="M6" s="2" t="inlineStr">
        <is>
          <t>WS-005-BRIEF</t>
        </is>
      </c>
      <c r="N6" s="2" t="inlineStr">
        <is>
          <t>Owen</t>
        </is>
      </c>
      <c r="O6" s="2" t="inlineStr">
        <is>
          <t>R-B Real Rule</t>
        </is>
      </c>
      <c r="P6" s="2" t="inlineStr">
        <is>
          <t>SAFE — He got them into fresh air first. REAL RULE: Never run a generator in a garage. Keep it 20+ ft from the house.</t>
        </is>
      </c>
      <c r="Q6" s="2" t="inlineStr">
        <is>
          <t>K1 street (snow variant); K4 interior; K9</t>
        </is>
      </c>
      <c r="R6" s="2" t="inlineStr">
        <is>
          <t>C-501, C-502, C-503, C-504, C-506 (BLOCKING: fresh air + call for help); C-505 (BLOCKING if alarms mentioned)</t>
        </is>
      </c>
      <c r="S6" s="2" t="inlineStr">
        <is>
          <t>R08 Cold Water Overboard</t>
        </is>
      </c>
    </row>
    <row r="7">
      <c r="A7" s="2" t="inlineStr">
        <is>
          <t>6</t>
        </is>
      </c>
      <c r="B7" s="2" t="inlineStr">
        <is>
          <t>2026-11-05</t>
        </is>
      </c>
      <c r="C7" s="2" t="inlineStr">
        <is>
          <t>Thu</t>
        </is>
      </c>
      <c r="D7" s="2" t="inlineStr">
        <is>
          <t>An outbreak on a plane four hours from landing: no exits, one aisle, and beverage carts</t>
        </is>
      </c>
      <c r="E7" s="2" t="inlineStr">
        <is>
          <t>A Zombie Outbreak at 35,000 Feet: What Would You Do?</t>
        </is>
      </c>
      <c r="F7" s="2" t="inlineStr">
        <is>
          <t>P1 OUTBREAK</t>
        </is>
      </c>
      <c r="G7" s="2" t="inlineStr">
        <is>
          <t>'Four hours from landing, the man in 31B stopped breathing. Then he stood up.' (frame 0: aisle view, seatbelt sign on)</t>
        </is>
      </c>
      <c r="H7" s="2" t="inlineStr">
        <is>
          <t>Tess builds a wall of braked carts across the aisle; the Turned can push but can't climb; the plane lands behind the barrier</t>
        </is>
      </c>
      <c r="I7" s="2" t="inlineStr">
        <is>
          <t>62–66 s</t>
        </is>
      </c>
      <c r="J7" s="2" t="inlineStr">
        <is>
          <t>A high-concept premise everyone can picture, scheduled after the kit-build buffer. It keeps outbreak episodes spaced every 2–3 days in week 1.</t>
        </is>
      </c>
      <c r="K7" s="2" t="inlineStr">
        <is>
          <t>H</t>
        </is>
      </c>
      <c r="L7" s="2" t="inlineStr">
        <is>
          <t>'What would you do?' question title; confined-space story</t>
        </is>
      </c>
      <c r="M7" s="2" t="inlineStr">
        <is>
          <t>WS-006-BRIEF</t>
        </is>
      </c>
      <c r="N7" s="2" t="inlineStr">
        <is>
          <t>Tess</t>
        </is>
      </c>
      <c r="O7" s="2" t="inlineStr">
        <is>
          <t>R-A Location Outbreak</t>
        </is>
      </c>
      <c r="P7" s="2" t="inlineStr">
        <is>
          <t>SURVIVED — She stopped running and built a wall.</t>
        </is>
      </c>
      <c r="Q7" s="2" t="inlineStr">
        <is>
          <t>K8 plane cabin (modular row); K10; K9</t>
        </is>
      </c>
      <c r="R7" s="2" t="inlineStr">
        <is>
          <t>C-102, C-103 (WR-04 push vs climb)</t>
        </is>
      </c>
      <c r="S7" s="2" t="inlineStr">
        <is>
          <t>R09 Cruise Ship, Day 3</t>
        </is>
      </c>
    </row>
    <row r="8">
      <c r="A8" s="2" t="inlineStr">
        <is>
          <t>7</t>
        </is>
      </c>
      <c r="B8" s="2" t="inlineStr">
        <is>
          <t>2026-11-06</t>
        </is>
      </c>
      <c r="C8" s="2" t="inlineStr">
        <is>
          <t>Fri</t>
        </is>
      </c>
      <c r="D8" s="2" t="inlineStr">
        <is>
          <t>Outbreak in your street: hide on the roof or in the basement? We play both endings</t>
        </is>
      </c>
      <c r="E8" s="2" t="inlineStr">
        <is>
          <t>Roof or Basement? We Played Both Endings</t>
        </is>
      </c>
      <c r="F8" s="2" t="inlineStr">
        <is>
          <t>P1 OUTBREAK</t>
        </is>
      </c>
      <c r="G8" s="2" t="inlineStr">
        <is>
          <t>Frame 0 is already split by the Fork: roof hatch on the left, basement stairs on the right, Kai and Mia in the middle</t>
        </is>
      </c>
      <c r="H8" s="2" t="inlineStr">
        <is>
          <t>Roof: cold, loud and exposed, but reachable only by a ladder the Turned can't climb, and visible to rescuers (SURVIVED). Basement: warm and quiet, but one push-door they can force (TRAPPED)</t>
        </is>
      </c>
      <c r="I8" s="2" t="inlineStr">
        <is>
          <t>68–72 s</t>
        </is>
      </c>
      <c r="J8" s="2" t="inlineStr">
        <is>
          <t>It closes week 1 with the format most likely to drive comment debate, and reuses the Day 1 house and street kit.</t>
        </is>
      </c>
      <c r="K8" s="2" t="inlineStr">
        <is>
          <t>M</t>
        </is>
      </c>
      <c r="L8" s="2" t="inlineStr">
        <is>
          <t>Both Endings format baseline (retention through the 'rewind')</t>
        </is>
      </c>
      <c r="M8" s="2" t="inlineStr">
        <is>
          <t>WS-007-BRIEF</t>
        </is>
      </c>
      <c r="N8" s="2" t="inlineStr">
        <is>
          <t>Kai + Mia</t>
        </is>
      </c>
      <c r="O8" s="2" t="inlineStr">
        <is>
          <t>R-C Both Endings</t>
        </is>
      </c>
      <c r="P8" s="2" t="inlineStr">
        <is>
          <t>ROOF: SURVIVED · BASEMENT: TRAPPED — Pick the place they can't climb to.</t>
        </is>
      </c>
      <c r="Q8" s="2" t="inlineStr">
        <is>
          <t>K1, K4 (house section), K10, K9</t>
        </is>
      </c>
      <c r="R8" s="2" t="inlineStr">
        <is>
          <t>C-103 (WR-04), WR-03</t>
        </is>
      </c>
      <c r="S8" s="2" t="inlineStr">
        <is>
          <t>R06 Your First Move (three endings)</t>
        </is>
      </c>
    </row>
    <row r="9">
      <c r="A9" s="2" t="inlineStr">
        <is>
          <t>8</t>
        </is>
      </c>
      <c r="B9" s="2" t="inlineStr">
        <is>
          <t>2026-11-07</t>
        </is>
      </c>
      <c r="C9" s="2" t="inlineStr">
        <is>
          <t>Sat</t>
        </is>
      </c>
      <c r="D9" s="2" t="inlineStr">
        <is>
          <t>Tornado on the highway: why the overpass is the worst shelter, and what to do in a vehicle</t>
        </is>
      </c>
      <c r="E9" s="2" t="inlineStr">
        <is>
          <t>Why the Highway Overpass Is the Worst Place in a Tornado</t>
        </is>
      </c>
      <c r="F9" s="2" t="inlineStr">
        <is>
          <t>P2 REAL RULE</t>
        </is>
      </c>
      <c r="G9" s="2" t="inlineStr">
        <is>
          <t>Frame 0: a funnel on the horizon; cars pulling in under an overpass; Tess's van slowing; a phone WARNING card</t>
        </is>
      </c>
      <c r="H9" s="2" t="inlineStr">
        <is>
          <t>Tess doesn't stop under the bridge; traffic blocks her escape, so she gets into a ditch lower than the road and covers her head</t>
        </is>
      </c>
      <c r="I9" s="2" t="inlineStr">
        <is>
          <t>54–58 s</t>
        </is>
      </c>
      <c r="J9" s="2" t="inlineStr">
        <is>
          <t>It reuses the vehicle kit from Day 2 after a 6-day gap. November is a secondary US tornado season [BK]. The facts are verified (C-801–804).</t>
        </is>
      </c>
      <c r="K9" s="2" t="inlineStr">
        <is>
          <t>M</t>
        </is>
      </c>
      <c r="L9" s="2" t="inlineStr">
        <is>
          <t>Second myth-busting P2 (compare with Day 4); red wind Sphere</t>
        </is>
      </c>
      <c r="M9" s="2" t="inlineStr">
        <is>
          <t>WS-008-BRIEF</t>
        </is>
      </c>
      <c r="N9" s="2" t="inlineStr">
        <is>
          <t>Tess</t>
        </is>
      </c>
      <c r="O9" s="2" t="inlineStr">
        <is>
          <t>R-B Real Rule</t>
        </is>
      </c>
      <c r="P9" s="2" t="inlineStr">
        <is>
          <t>SURVIVED — Lower than the road, not under it. REAL RULE: Tornado: never shelter under a highway overpass.</t>
        </is>
      </c>
      <c r="Q9" s="2" t="inlineStr">
        <is>
          <t>K2 van/road; K6 open plains; K9</t>
        </is>
      </c>
      <c r="R9" s="2" t="inlineStr">
        <is>
          <t>C-801, C-802 (confirm wording), C-803, C-804</t>
        </is>
      </c>
      <c r="S9" s="2" t="inlineStr">
        <is>
          <t>R02 Six Inches of Water</t>
        </is>
      </c>
    </row>
    <row r="10">
      <c r="A10" s="2" t="inlineStr">
        <is>
          <t>9</t>
        </is>
      </c>
      <c r="B10" s="2" t="inlineStr">
        <is>
          <t>2026-11-08</t>
        </is>
      </c>
      <c r="C10" s="2" t="inlineStr">
        <is>
          <t>Sun</t>
        </is>
      </c>
      <c r="D10" s="2" t="inlineStr">
        <is>
          <t>The boat plan: the Turned can't swim, but they don't breathe either, so they walk the bottom, and the tide matters</t>
        </is>
      </c>
      <c r="E10" s="2" t="inlineStr">
        <is>
          <t>Zombies Can't Swim. So Why Wasn't the Boat Safe?</t>
        </is>
      </c>
      <c r="F10" s="2" t="inlineStr">
        <is>
          <t>P1 OUTBREAK</t>
        </is>
      </c>
      <c r="G10" s="2" t="inlineStr">
        <is>
          <t>Frame 0: night harbour; Owen's sailboat anchored 100 m out; the Turned on the dock: 'They can't swim. That's why Owen anchored a hundred metres out.'</t>
        </is>
      </c>
      <c r="H10" s="2" t="inlineStr">
        <is>
          <t>Owen notices the tide table and moves to deep water before low tide; at low tide his old anchor spot is ringed with heads just breaking the surface</t>
        </is>
      </c>
      <c r="I10" s="2" t="inlineStr">
        <is>
          <t>58–62 s</t>
        </is>
      </c>
      <c r="J10" s="2" t="inlineStr">
        <is>
          <t>It rewards Day 1 viewers (no-breath rule) while standing alone, and changes setting to water and night after two daytime episodes.</t>
        </is>
      </c>
      <c r="K10" s="2" t="inlineStr">
        <is>
          <t>M</t>
        </is>
      </c>
      <c r="L10" s="2" t="inlineStr">
        <is>
          <t>World-rule payoff twist (WR-02 callback from Day 1)</t>
        </is>
      </c>
      <c r="M10" s="2" t="inlineStr">
        <is>
          <t>WS-009-BRIEF</t>
        </is>
      </c>
      <c r="N10" s="2" t="inlineStr">
        <is>
          <t>Owen</t>
        </is>
      </c>
      <c r="O10" s="2" t="inlineStr">
        <is>
          <t>R-A Location Outbreak</t>
        </is>
      </c>
      <c r="P10" s="2" t="inlineStr">
        <is>
          <t>ESCAPED — He checked the tide, not just the distance.</t>
        </is>
      </c>
      <c r="Q10" s="2" t="inlineStr">
        <is>
          <t>K7 harbour/boat; K10 (Turned underwater variant); K9</t>
        </is>
      </c>
      <c r="R10" s="2" t="inlineStr">
        <is>
          <t>C-102 (WR-02), WR-04</t>
        </is>
      </c>
      <c r="S10" s="2" t="inlineStr">
        <is>
          <t>R03 Bunker Hatch</t>
        </is>
      </c>
    </row>
    <row r="11">
      <c r="A11" s="2" t="inlineStr">
        <is>
          <t>10</t>
        </is>
      </c>
      <c r="B11" s="2" t="inlineStr">
        <is>
          <t>2026-11-09</t>
        </is>
      </c>
      <c r="C11" s="2" t="inlineStr">
        <is>
          <t>Mon</t>
        </is>
      </c>
      <c r="D11" s="2" t="inlineStr">
        <is>
          <t>A multi-day blackout, hour by hour: what fails first in your home and what order to act in</t>
        </is>
      </c>
      <c r="E11" s="2" t="inlineStr">
        <is>
          <t>When the Power Goes Out for Days, This Is What Fails First</t>
        </is>
      </c>
      <c r="F11" s="2" t="inlineStr">
        <is>
          <t>P3 WORLD SHIFT</t>
        </is>
      </c>
      <c r="G11" s="2" t="inlineStr">
        <is>
          <t>Frame 0: a house cross-section the instant the lights die; a T1 clock reads HOUR 0: 'Your house doesn't fail all at once. It fails in order.'</t>
        </is>
      </c>
      <c r="H11" s="2" t="inlineStr">
        <is>
          <t>By hour 72 they've lost almost nothing, because they acted in order: water, cold food (doors shut), no generator indoors</t>
        </is>
      </c>
      <c r="I11" s="2" t="inlineStr">
        <is>
          <t>62–66 s</t>
        </is>
      </c>
      <c r="J11" s="2" t="inlineStr">
        <is>
          <t>It opens week 2 with the World Shift pillar after five fiction/real alternations. It reuses Day 5's verified blackout facts with a different angle (planning, not CO).</t>
        </is>
      </c>
      <c r="K11" s="2" t="inlineStr">
        <is>
          <t>M</t>
        </is>
      </c>
      <c r="L11" s="2" t="inlineStr">
        <is>
          <t>Hour-by-hour ladder format (P3 baseline)</t>
        </is>
      </c>
      <c r="M11" s="2" t="inlineStr">
        <is>
          <t>WS-010-BRIEF</t>
        </is>
      </c>
      <c r="N11" s="2" t="inlineStr">
        <is>
          <t>Kai + Mia (Owen cameo)</t>
        </is>
      </c>
      <c r="O11" s="2" t="inlineStr">
        <is>
          <t>R-E World Shift ladder</t>
        </is>
      </c>
      <c r="P11" s="2" t="inlineStr">
        <is>
          <t>SAFE — They planned by the hour, not the day. REAL RULE: Fridge about 4 h; full freezer about 48 h. Keep the doors shut.</t>
        </is>
      </c>
      <c r="Q11" s="2" t="inlineStr">
        <is>
          <t>K4 house cross-section; K9 clocks/counters</t>
        </is>
      </c>
      <c r="R11" s="2" t="inlineStr">
        <is>
          <t>C-1001, C-1002, C-011, C-022, C-501/502; C-1003 must be cut or verified</t>
        </is>
      </c>
      <c r="S11" s="2" t="inlineStr">
        <is>
          <t>R08 Cold Water Overboard</t>
        </is>
      </c>
    </row>
    <row r="12">
      <c r="A12" s="2" t="inlineStr">
        <is>
          <t>11</t>
        </is>
      </c>
      <c r="B12" s="2" t="inlineStr">
        <is>
          <t>2026-11-10</t>
        </is>
      </c>
      <c r="C12" s="2" t="inlineStr">
        <is>
          <t>Tue</t>
        </is>
      </c>
      <c r="D12" s="2" t="inlineStr">
        <is>
          <t>High-rise outbreak: everyone heads for the roof; Tess stays on her floor and lets the stairwell door do the work</t>
        </is>
      </c>
      <c r="E12" s="2" t="inlineStr">
        <is>
          <t>Zombie Outbreak in Your Apartment Building: Go Up or Down?</t>
        </is>
      </c>
      <c r="F12" s="2" t="inlineStr">
        <is>
          <t>P1 OUTBREAK</t>
        </is>
      </c>
      <c r="G12" s="2" t="inlineStr">
        <is>
          <t>Frame 0: building cross-section, red dots in the lobby, arrows 'UP?' 'DOWN?', Tess at her door on 14: 'Everyone in the building had the same plan.'</t>
        </is>
      </c>
      <c r="H12" s="2" t="inlineStr">
        <is>
          <t>The roof crowd's noise draws the Turned upward past floor 14; Tess's floor stays sealed because from the stairwell the door must be pulled</t>
        </is>
      </c>
      <c r="I12" s="2" t="inlineStr">
        <is>
          <t>58–62 s</t>
        </is>
      </c>
      <c r="J12" s="2" t="inlineStr">
        <is>
          <t>This has the strongest retrieved demand signal for a location debate. It sits mid-week-2 after a P3 day and before a P2 day.</t>
        </is>
      </c>
      <c r="K12" s="2" t="inlineStr">
        <is>
          <t>M</t>
        </is>
      </c>
      <c r="L12" s="2" t="inlineStr">
        <is>
          <t>Up-vs-down debate premise ([R-S38] evidence)</t>
        </is>
      </c>
      <c r="M12" s="2" t="inlineStr">
        <is>
          <t>WS-011-BRIEF</t>
        </is>
      </c>
      <c r="N12" s="2" t="inlineStr">
        <is>
          <t>Tess</t>
        </is>
      </c>
      <c r="O12" s="2" t="inlineStr">
        <is>
          <t>R-A Location Outbreak</t>
        </is>
      </c>
      <c r="P12" s="2" t="inlineStr">
        <is>
          <t>SURVIVED — She let the stairwell door do the work.</t>
        </is>
      </c>
      <c r="Q12" s="2" t="inlineStr">
        <is>
          <t>K5 tower cross-section/stairwell/corridor; K10; K9</t>
        </is>
      </c>
      <c r="R12" s="2" t="inlineStr">
        <is>
          <t>C-103 (WR-04); C-1101 (in-story fact only)</t>
        </is>
      </c>
      <c r="S12" s="2" t="inlineStr">
        <is>
          <t>R04 Gas Station</t>
        </is>
      </c>
    </row>
    <row r="13">
      <c r="A13" s="2" t="inlineStr">
        <is>
          <t>12</t>
        </is>
      </c>
      <c r="B13" s="2" t="inlineStr">
        <is>
          <t>2026-11-11</t>
        </is>
      </c>
      <c r="C13" s="2" t="inlineStr">
        <is>
          <t>Wed</t>
        </is>
      </c>
      <c r="D13" s="2" t="inlineStr">
        <is>
          <t>House fire at 3 a.m.: a closed bedroom door can keep a room hundreds of degrees cooler</t>
        </is>
      </c>
      <c r="E13" s="2" t="inlineStr">
        <is>
          <t>House Fire at 3 A.M.: The One Thing That Buys You Time</t>
        </is>
      </c>
      <c r="F13" s="2" t="inlineStr">
        <is>
          <t>P2 REAL RULE</t>
        </is>
      </c>
      <c r="G13" s="2" t="inlineStr">
        <is>
          <t>Frame 0: split cutaway of two bedrooms, one door open and one closed, with smoke filling the hallway; a T1 timer reads 02:00</t>
        </is>
      </c>
      <c r="H13" s="2" t="inlineStr">
        <is>
          <t>Owen, who sleeps with his door closed, stays low, sees smoke in the hall and escapes through the window; outside, he doesn't go back in</t>
        </is>
      </c>
      <c r="I13" s="2" t="inlineStr">
        <is>
          <t>54–58 s</t>
        </is>
      </c>
      <c r="J13" s="2" t="inlineStr">
        <is>
          <t>Heating season; verified facts (C-1201–1204). It is the strongest share-to-protect candidate in week 2.</t>
        </is>
      </c>
      <c r="K13" s="2" t="inlineStr">
        <is>
          <t>M</t>
        </is>
      </c>
      <c r="L13" s="2" t="inlineStr">
        <is>
          <t>Split-screen comparison opener</t>
        </is>
      </c>
      <c r="M13" s="2" t="inlineStr">
        <is>
          <t>WS-012-BRIEF</t>
        </is>
      </c>
      <c r="N13" s="2" t="inlineStr">
        <is>
          <t>Owen</t>
        </is>
      </c>
      <c r="O13" s="2" t="inlineStr">
        <is>
          <t>R-B Real Rule</t>
        </is>
      </c>
      <c r="P13" s="2" t="inlineStr">
        <is>
          <t>SAFE — His door was closed before the fire started. REAL RULE: Sleep with the door closed. Get out, stay out.</t>
        </is>
      </c>
      <c r="Q13" s="2" t="inlineStr">
        <is>
          <t>K4 house cross-section (night); K9</t>
        </is>
      </c>
      <c r="R13" s="2" t="inlineStr">
        <is>
          <t>C-1201, C-1202, C-1203, C-1204, C-1206 (BLOCKING: window as second way out); C-1205 only if verified</t>
        </is>
      </c>
      <c r="S13" s="2" t="inlineStr">
        <is>
          <t>R01 Lightning</t>
        </is>
      </c>
    </row>
    <row r="14">
      <c r="A14" s="2" t="inlineStr">
        <is>
          <t>13</t>
        </is>
      </c>
      <c r="B14" s="2" t="inlineStr">
        <is>
          <t>2026-11-12</t>
        </is>
      </c>
      <c r="C14" s="2" t="inlineStr">
        <is>
          <t>Thu</t>
        </is>
      </c>
      <c r="D14" s="2" t="inlineStr">
        <is>
          <t>Outbreak during a horror film: the loudest room in town, and the exit door that only opens one way</t>
        </is>
      </c>
      <c r="E14" s="2" t="inlineStr">
        <is>
          <t>Zombie Outbreak in a Movie Theater: Nobody Noticed the Screams</t>
        </is>
      </c>
      <c r="F14" s="2" t="inlineStr">
        <is>
          <t>P1 OUTBREAK</t>
        </is>
      </c>
      <c r="G14" s="2" t="inlineStr">
        <is>
          <t>Frame 0: dark auditorium, a screaming face on screen; in row C a Turned leans toward a viewer; Kai in the back row notices</t>
        </is>
      </c>
      <c r="H14" s="2" t="inlineStr">
        <is>
          <t>Kai leads six people out the push-bar emergency exit; the Turned in the lobby can't pull it open from outside</t>
        </is>
      </c>
      <c r="I14" s="2" t="inlineStr">
        <is>
          <t>58–62 s</t>
        </is>
      </c>
      <c r="J14" s="2" t="inlineStr">
        <is>
          <t>This has an evergreen entertainment premise. After two serious days it lightens the tone. It reuses push/pull logic in a new place.</t>
        </is>
      </c>
      <c r="K14" s="2" t="inlineStr">
        <is>
          <t>M</t>
        </is>
      </c>
      <c r="L14" s="2" t="inlineStr">
        <is>
          <t>Comedic-irony hook</t>
        </is>
      </c>
      <c r="M14" s="2" t="inlineStr">
        <is>
          <t>WS-013-BRIEF</t>
        </is>
      </c>
      <c r="N14" s="2" t="inlineStr">
        <is>
          <t>Kai</t>
        </is>
      </c>
      <c r="O14" s="2" t="inlineStr">
        <is>
          <t>R-A Location Outbreak</t>
        </is>
      </c>
      <c r="P14" s="2" t="inlineStr">
        <is>
          <t>ESCAPED — He picked the door that opens one way.</t>
        </is>
      </c>
      <c r="Q14" s="2" t="inlineStr">
        <is>
          <t>Theater interior (new, simple tiers); K10; K9</t>
        </is>
      </c>
      <c r="R14" s="2" t="inlineStr">
        <is>
          <t>WR-03, WR-04; C-1101 (in-story only)</t>
        </is>
      </c>
      <c r="S14" s="2" t="inlineStr">
        <is>
          <t>R07 Wedding Reception</t>
        </is>
      </c>
    </row>
    <row r="15">
      <c r="A15" s="2" t="inlineStr">
        <is>
          <t>14</t>
        </is>
      </c>
      <c r="B15" s="2" t="inlineStr">
        <is>
          <t>2026-11-13</t>
        </is>
      </c>
      <c r="C15" s="2" t="inlineStr">
        <is>
          <t>Fri</t>
        </is>
      </c>
      <c r="D15" s="2" t="inlineStr">
        <is>
          <t>You get seven days of warning before an outbreak: lock down in the city or leave early? Both endings</t>
        </is>
      </c>
      <c r="E15" s="2" t="inlineStr">
        <is>
          <t>7 Days of Warning Before the Outbreak: Stay or Leave?</t>
        </is>
      </c>
      <c r="F15" s="2" t="inlineStr">
        <is>
          <t>P3 WORLD SHIFT</t>
        </is>
      </c>
      <c r="G15" s="2" t="inlineStr">
        <is>
          <t>Frame 0: a '7 DAYS' calendar flip and a leaked memo on Tess's phone, with the Fork already split: CITY vs COUNTRY</t>
        </is>
      </c>
      <c r="H15" s="2" t="inlineStr">
        <is>
          <t>Stay: a stocked apartment, but the dense city falls first and the supplies run out (TRAPPED). Leave on Day 2, before the panic: clear roads to Owen's cabin (SURVIVED)</t>
        </is>
      </c>
      <c r="I15" s="2" t="inlineStr">
        <is>
          <t>68–72 s</t>
        </is>
      </c>
      <c r="J15" s="2" t="inlineStr">
        <is>
          <t>'Advance warning' has retrieved interest [R-S29] and the Cornell model gives real context (C-1401). It closes week 2 with a big-picture debate.</t>
        </is>
      </c>
      <c r="K15" s="2" t="inlineStr">
        <is>
          <t>M</t>
        </is>
      </c>
      <c r="L15" s="2" t="inlineStr">
        <is>
          <t>Both Endings on a P3 premise (second data point)</t>
        </is>
      </c>
      <c r="M15" s="2" t="inlineStr">
        <is>
          <t>WS-014-BRIEF</t>
        </is>
      </c>
      <c r="N15" s="2" t="inlineStr">
        <is>
          <t>Tess</t>
        </is>
      </c>
      <c r="O15" s="2" t="inlineStr">
        <is>
          <t>R-C Both Endings</t>
        </is>
      </c>
      <c r="P15" s="2" t="inlineStr">
        <is>
          <t>STAY: TRAPPED · LEAVE EARLY: SURVIVED — Leaving early beats leaving fast.</t>
        </is>
      </c>
      <c r="Q15" s="2" t="inlineStr">
        <is>
          <t>K5 apartment; K2 road; K6 cabin exterior; K9 map</t>
        </is>
      </c>
      <c r="R15" s="2" t="inlineStr">
        <is>
          <t>C-1401 (qualified), C-1002, WR-08</t>
        </is>
      </c>
      <c r="S15" s="2" t="inlineStr">
        <is>
          <t>R06 Your First Move</t>
        </is>
      </c>
    </row>
    <row r="16">
      <c r="A16" s="2" t="inlineStr">
        <is>
          <t>15</t>
        </is>
      </c>
      <c r="B16" s="2" t="inlineStr">
        <is>
          <t>2026-11-14</t>
        </is>
      </c>
      <c r="C16" s="2" t="inlineStr">
        <is>
          <t>Sat</t>
        </is>
      </c>
      <c r="D16" s="2" t="inlineStr">
        <is>
          <t>Antarctic research station with zero cases until the last supply plane lands with a bandaged passenger</t>
        </is>
      </c>
      <c r="E16" s="2" t="inlineStr">
        <is>
          <t>The Last Place on Earth Without the Outbreak (Part 1)</t>
        </is>
      </c>
      <c r="F16" s="2" t="inlineStr">
        <is>
          <t>P1 OUTBREAK (SAGA)</t>
        </is>
      </c>
      <c r="G16" s="2" t="inlineStr">
        <is>
          <t>Frame 0: plane landing on an ice runway at dusk; HUD 'OUTBREAK DAY 9 · STATION ZERO: 0 CASES'</t>
        </is>
      </c>
      <c r="H16" s="2" t="inlineStr">
        <is>
          <t>Owen reads the fever and the bandage; the man turns in the medical bay, and Owen seals it in time (CONTAINED). New problem: the bay sits next to the heating plant</t>
        </is>
      </c>
      <c r="I16" s="2" t="inlineStr">
        <is>
          <t>66–70 s</t>
        </is>
      </c>
      <c r="J16" s="2" t="inlineStr">
        <is>
          <t>This is the planned serialization test, placed mid-month once the baseline formats have data. It is weekend viewing (Sat/Sun pair).</t>
        </is>
      </c>
      <c r="K16" s="2" t="inlineStr">
        <is>
          <t>H</t>
        </is>
      </c>
      <c r="L16" s="2" t="inlineStr">
        <is>
          <t>SAGA Part 1: does a resolved Part 1 with a forward line lift Part 2 views and follows?</t>
        </is>
      </c>
      <c r="M16" s="2" t="inlineStr">
        <is>
          <t>WS-015-BRIEF</t>
        </is>
      </c>
      <c r="N16" s="2" t="inlineStr">
        <is>
          <t>Owen</t>
        </is>
      </c>
      <c r="O16" s="2" t="inlineStr">
        <is>
          <t>R-F Two-part Saga</t>
        </is>
      </c>
      <c r="P16" s="2" t="inlineStr">
        <is>
          <t>SURVIVED — Owen read the bandage, not the smile. (Forward line: 'The heat runs out in 30 hours.')</t>
        </is>
      </c>
      <c r="Q16" s="2" t="inlineStr">
        <is>
          <t>K6 snow/ice + station interior (new); K10; K9</t>
        </is>
      </c>
      <c r="R16" s="2" t="inlineStr">
        <is>
          <t>WR-01 (fever, bite), WR-04; C-1501 (no real numbers unless verified)</t>
        </is>
      </c>
      <c r="S16" s="2" t="inlineStr">
        <is>
          <t>R05 The Crossing (original puzzle)</t>
        </is>
      </c>
    </row>
    <row r="17">
      <c r="A17" s="2" t="inlineStr">
        <is>
          <t>16</t>
        </is>
      </c>
      <c r="B17" s="2" t="inlineStr">
        <is>
          <t>2026-11-15</t>
        </is>
      </c>
      <c r="C17" s="2" t="inlineStr">
        <is>
          <t>Sun</t>
        </is>
      </c>
      <c r="D17" s="2" t="inlineStr">
        <is>
          <t>Station Zero, part 2: heat runs out in 30 hours and the only weapon is the cold</t>
        </is>
      </c>
      <c r="E17" s="2" t="inlineStr">
        <is>
          <t>Station Zero Part 2: The Only Weapon Was the Cold</t>
        </is>
      </c>
      <c r="F17" s="2" t="inlineStr">
        <is>
          <t>P1 OUTBREAK (SAGA)</t>
        </is>
      </c>
      <c r="G17" s="2" t="inlineStr">
        <is>
          <t>Frame 0: Owen in a parka at the boiler-room hatch; T1 'HEAT: 30 HOURS'; story thermometer 'OUTSIDE −41°C'</t>
        </is>
      </c>
      <c r="H17" s="2" t="inlineStr">
        <is>
          <t>Owen shuts the medical wing's heat and opens its outer door; the Turned frosts over and stops (WR-06); he passes it, restores the heat, and twelve people survive</t>
        </is>
      </c>
      <c r="I17" s="2" t="inlineStr">
        <is>
          <t>66–70 s</t>
        </is>
      </c>
      <c r="J17" s="2" t="inlineStr">
        <is>
          <t>This is the second half of the saga test. A one-line in-world recap keeps it standalone.</t>
        </is>
      </c>
      <c r="K17" s="2" t="inlineStr">
        <is>
          <t>M (reuses Part 1)</t>
        </is>
      </c>
      <c r="L17" s="2" t="inlineStr">
        <is>
          <t>SAGA Part 2: retention of cold viewers; Part2/Part1 view ratio</t>
        </is>
      </c>
      <c r="M17" s="2" t="inlineStr">
        <is>
          <t>WS-016-BRIEF</t>
        </is>
      </c>
      <c r="N17" s="2" t="inlineStr">
        <is>
          <t>Owen</t>
        </is>
      </c>
      <c r="O17" s="2" t="inlineStr">
        <is>
          <t>R-F Two-part Saga</t>
        </is>
      </c>
      <c r="P17" s="2" t="inlineStr">
        <is>
          <t>SURVIVED — He turned the cold into a wall.</t>
        </is>
      </c>
      <c r="Q17" s="2" t="inlineStr">
        <is>
          <t>Station kit from Part 1; K9</t>
        </is>
      </c>
      <c r="R17" s="2" t="inlineStr">
        <is>
          <t>WR-06; WR-02 (frost/no breath); C-1501</t>
        </is>
      </c>
      <c r="S17" s="2" t="inlineStr">
        <is>
          <t>R03 Bunker Hatch</t>
        </is>
      </c>
    </row>
    <row r="18">
      <c r="A18" s="2" t="inlineStr">
        <is>
          <t>17</t>
        </is>
      </c>
      <c r="B18" s="2" t="inlineStr">
        <is>
          <t>2026-11-16</t>
        </is>
      </c>
      <c r="C18" s="2" t="inlineStr">
        <is>
          <t>Mon</t>
        </is>
      </c>
      <c r="D18" s="2" t="inlineStr">
        <is>
          <t>Rip current: the instinct to swim straight back is the one that exhausts swimmers</t>
        </is>
      </c>
      <c r="E18" s="2" t="inlineStr">
        <is>
          <t>Caught in a Rip Current? Don't Swim Back to Shore.</t>
        </is>
      </c>
      <c r="F18" s="2" t="inlineStr">
        <is>
          <t>P2 REAL RULE</t>
        </is>
      </c>
      <c r="G18" s="2" t="inlineStr">
        <is>
          <t>Frame 0: overhead beach; Kai being pulled outward inside a narrow cyan Sphere channel: 'Every instinct said swim straight back.'</t>
        </is>
      </c>
      <c r="H18" s="2" t="inlineStr">
        <is>
          <t>Kai floats, calms his breathing, swims parallel out of the narrow channel, then angles back to shore</t>
        </is>
      </c>
      <c r="I18" s="2" t="inlineStr">
        <is>
          <t>50–54 s</t>
        </is>
      </c>
      <c r="J18" s="2" t="inlineStr">
        <is>
          <t>Verified facts (C-1701–1703). After the saga weekend it returns to a short, clear standalone. Evergreen (Southern Hemisphere summer approaching).</t>
        </is>
      </c>
      <c r="K18" s="2" t="inlineStr">
        <is>
          <t>M</t>
        </is>
      </c>
      <c r="L18" s="2" t="inlineStr">
        <is>
          <t>Water Sphere + swimmer POV; Real Rule after the saga weekend</t>
        </is>
      </c>
      <c r="M18" s="2" t="inlineStr">
        <is>
          <t>WS-017-BRIEF</t>
        </is>
      </c>
      <c r="N18" s="2" t="inlineStr">
        <is>
          <t>Kai</t>
        </is>
      </c>
      <c r="O18" s="2" t="inlineStr">
        <is>
          <t>R-B Real Rule</t>
        </is>
      </c>
      <c r="P18" s="2" t="inlineStr">
        <is>
          <t>SAFE — He swam sideways, not against it. REAL RULE: Rip current: don't fight it. Float, then swim parallel to shore.</t>
        </is>
      </c>
      <c r="Q18" s="2" t="inlineStr">
        <is>
          <t>K7 beach/ocean overhead; K9</t>
        </is>
      </c>
      <c r="R18" s="2" t="inlineStr">
        <is>
          <t>C-1701, C-1702, C-1703; C-1704 not animated unless verified</t>
        </is>
      </c>
      <c r="S18" s="2" t="inlineStr">
        <is>
          <t>R08 Cold Water Overboard</t>
        </is>
      </c>
    </row>
    <row r="19">
      <c r="A19" s="2" t="inlineStr">
        <is>
          <t>18</t>
        </is>
      </c>
      <c r="B19" s="2" t="inlineStr">
        <is>
          <t>2026-11-17</t>
        </is>
      </c>
      <c r="C19" s="2" t="inlineStr">
        <is>
          <t>Tue</t>
        </is>
      </c>
      <c r="D19" s="2" t="inlineStr">
        <is>
          <t>A flash in the sky (meteor airburst): the shock wave arrives later, and windows are the danger (Chelyabinsk 2013)</t>
        </is>
      </c>
      <c r="E19" s="2" t="inlineStr">
        <is>
          <t>If You See a Flash in the Sky, Don't Go to the Window</t>
        </is>
      </c>
      <c r="F19" s="2" t="inlineStr">
        <is>
          <t>P2 REAL RULE</t>
        </is>
      </c>
      <c r="G19" s="2" t="inlineStr">
        <is>
          <t>Frame 0: an office; a white flash across the windows; everyone turning toward the glass: 'When the sky flashes, everyone goes to the window.'</t>
        </is>
      </c>
      <c r="H19" s="2" t="inlineStr">
        <is>
          <t>Tess moves away from the glass to an interior wall; the delayed shock wave blows the windows in; she's unhurt</t>
        </is>
      </c>
      <c r="I19" s="2" t="inlineStr">
        <is>
          <t>52–56 s</t>
        </is>
      </c>
      <c r="J19" s="2" t="inlineStr">
        <is>
          <t>Leonid meteor-shower week brings meteor curiosity [BK]. The script must state that shower meteors are harmless dust (C-1802). Conditional on verifying C-1801.</t>
        </is>
      </c>
      <c r="K19" s="2" t="inlineStr">
        <is>
          <t>M</t>
        </is>
      </c>
      <c r="L19" s="2" t="inlineStr">
        <is>
          <t>Historical-reference hook ('In 2013…') in Leonid week</t>
        </is>
      </c>
      <c r="M19" s="2" t="inlineStr">
        <is>
          <t>WS-018-BRIEF</t>
        </is>
      </c>
      <c r="N19" s="2" t="inlineStr">
        <is>
          <t>Tess</t>
        </is>
      </c>
      <c r="O19" s="2" t="inlineStr">
        <is>
          <t>R-B Real Rule</t>
        </is>
      </c>
      <c r="P19" s="2" t="inlineStr">
        <is>
          <t>SAFE — Away from the glass, not toward it. REAL RULE (pending verification): A bright flash in the sky? Stay away from windows.</t>
        </is>
      </c>
      <c r="Q19" s="2" t="inlineStr">
        <is>
          <t>K5 office interior; K9</t>
        </is>
      </c>
      <c r="R19" s="2" t="inlineStr">
        <is>
          <t>C-1801 (BLOCKING), C-1802 (BLOCKING)</t>
        </is>
      </c>
      <c r="S19" s="2" t="inlineStr">
        <is>
          <t>R01 Lightning (verified)</t>
        </is>
      </c>
    </row>
    <row r="20">
      <c r="A20" s="2" t="inlineStr">
        <is>
          <t>19</t>
        </is>
      </c>
      <c r="B20" s="2" t="inlineStr">
        <is>
          <t>2026-11-18</t>
        </is>
      </c>
      <c r="C20" s="2" t="inlineStr">
        <is>
          <t>Wed</t>
        </is>
      </c>
      <c r="D20" s="2" t="inlineStr">
        <is>
          <t>Stuck in an elevator between floors as the outbreak begins: the steel box nobody can open</t>
        </is>
      </c>
      <c r="E20" s="2" t="inlineStr">
        <is>
          <t>Stuck in an Elevator When the Outbreak Starts</t>
        </is>
      </c>
      <c r="F20" s="2" t="inlineStr">
        <is>
          <t>P1 OUTBREAK</t>
        </is>
      </c>
      <c r="G20" s="2" t="inlineStr">
        <is>
          <t>Frame 0: elevator interior, flickering lights, Mia pressing the alarm, floor display '7½', muffled shuffling above: 'For once, that was good luck.'</t>
        </is>
      </c>
      <c r="H20" s="2" t="inlineStr">
        <is>
          <t>They don't pry the doors; they stay quiet; the Turned can't open elevator doors; firefighters with keys open the doors hours later</t>
        </is>
      </c>
      <c r="I20" s="2" t="inlineStr">
        <is>
          <t>52–56 s</t>
        </is>
      </c>
      <c r="J20" s="2" t="inlineStr">
        <is>
          <t>A cheap episode in a busy week (between two P2s and a P3). Verified elevator facts (C-1901/1902) are combined with WR-04.</t>
        </is>
      </c>
      <c r="K20" s="2" t="inlineStr">
        <is>
          <t>L</t>
        </is>
      </c>
      <c r="L20" s="2" t="inlineStr">
        <is>
          <t>Low-cost single-set episode: performance vs production cost</t>
        </is>
      </c>
      <c r="M20" s="2" t="inlineStr">
        <is>
          <t>WS-019-BRIEF</t>
        </is>
      </c>
      <c r="N20" s="2" t="inlineStr">
        <is>
          <t>Kai + Mia</t>
        </is>
      </c>
      <c r="O20" s="2" t="inlineStr">
        <is>
          <t>R-A Location Outbreak</t>
        </is>
      </c>
      <c r="P20" s="2" t="inlineStr">
        <is>
          <t>SURVIVED — They stayed in the box nobody could open. REAL RULE: Stuck in an elevator? Stay in, use the alarm, don't force the doors.</t>
        </is>
      </c>
      <c r="Q20" s="2" t="inlineStr">
        <is>
          <t>Elevator interior (new, tiny); K10 (sound only + feet in door gap); K9</t>
        </is>
      </c>
      <c r="R20" s="2" t="inlineStr">
        <is>
          <t>C-1901, C-1902, WR-03, WR-04</t>
        </is>
      </c>
      <c r="S20" s="2" t="inlineStr">
        <is>
          <t>R04 Gas Station</t>
        </is>
      </c>
    </row>
    <row r="21">
      <c r="A21" s="2" t="inlineStr">
        <is>
          <t>20</t>
        </is>
      </c>
      <c r="B21" s="2" t="inlineStr">
        <is>
          <t>2026-11-19</t>
        </is>
      </c>
      <c r="C21" s="2" t="inlineStr">
        <is>
          <t>Thu</t>
        </is>
      </c>
      <c r="D21" s="2" t="inlineStr">
        <is>
          <t>A solar superstorm: low-latitude auroras, stressed transformers and a long outage. What a lineman does first</t>
        </is>
      </c>
      <c r="E21" s="2" t="inlineStr">
        <is>
          <t>What Would a Massive Solar Storm Do to the Power Grid?</t>
        </is>
      </c>
      <c r="F21" s="2" t="inlineStr">
        <is>
          <t>P3 WORLD SHIFT</t>
        </is>
      </c>
      <c r="G21" s="2" t="inlineStr">
        <is>
          <t>Frame 0: green aurora over a southern town, people filming; Owen listening to a humming transformer: 'Everyone was filming the sky. Owen was listening to the transformers.'</t>
        </is>
      </c>
      <c r="H21" s="2" t="inlineStr">
        <is>
          <t>Owen treats the aurora as a warning: water, fridge rules and checks on the neighbours before the outage spreads</t>
        </is>
      </c>
      <c r="I21" s="2" t="inlineStr">
        <is>
          <t>60–64 s</t>
        </is>
      </c>
      <c r="J21" s="2" t="inlineStr">
        <is>
          <t>A big-picture P3 in week 3. Conditional on verifying C-2001; swap to R01/R08 if verification fails.</t>
        </is>
      </c>
      <c r="K21" s="2" t="inlineStr">
        <is>
          <t>M</t>
        </is>
      </c>
      <c r="L21" s="2" t="inlineStr">
        <is>
          <t>Spectacle visual (aurora) hook in P3</t>
        </is>
      </c>
      <c r="M21" s="2" t="inlineStr">
        <is>
          <t>WS-020-BRIEF</t>
        </is>
      </c>
      <c r="N21" s="2" t="inlineStr">
        <is>
          <t>Owen</t>
        </is>
      </c>
      <c r="O21" s="2" t="inlineStr">
        <is>
          <t>R-E World Shift ladder</t>
        </is>
      </c>
      <c r="P21" s="2" t="inlineStr">
        <is>
          <t>SAFE — The lights were a warning, not a show.</t>
        </is>
      </c>
      <c r="Q21" s="2" t="inlineStr">
        <is>
          <t>K1 town (night variant); K4; K9 map</t>
        </is>
      </c>
      <c r="R21" s="2" t="inlineStr">
        <is>
          <t>C-2001 (BLOCKING), C-1001, C-1002</t>
        </is>
      </c>
      <c r="S21" s="2" t="inlineStr">
        <is>
          <t>R01 Lightning</t>
        </is>
      </c>
    </row>
    <row r="22">
      <c r="A22" s="2" t="inlineStr">
        <is>
          <t>21</t>
        </is>
      </c>
      <c r="B22" s="2" t="inlineStr">
        <is>
          <t>2026-11-20</t>
        </is>
      </c>
      <c r="C22" s="2" t="inlineStr">
        <is>
          <t>Fri</t>
        </is>
      </c>
      <c r="D22" s="2" t="inlineStr">
        <is>
          <t>Falling through early ice: control the gasp, then turn back toward the ice that held you</t>
        </is>
      </c>
      <c r="E22" s="2" t="inlineStr">
        <is>
          <t>Fell Through the Ice? Turn Back the Way You Came.</t>
        </is>
      </c>
      <c r="F22" s="2" t="inlineStr">
        <is>
          <t>P2 REAL RULE</t>
        </is>
      </c>
      <c r="G22" s="2" t="inlineStr">
        <is>
          <t>Frame 0: ice cracking under Tess mid-step on a pond shortcut, parcel flying: 'The shortcut saved four minutes. Then the ice broke.'</t>
        </is>
      </c>
      <c r="H22" s="2" t="inlineStr">
        <is>
          <t>Tess controls her breathing, turns toward the direction she came from, kicks and slides out, rolls away and gets to warmth</t>
        </is>
      </c>
      <c r="I22" s="2" t="inlineStr">
        <is>
          <t>52–56 s</t>
        </is>
      </c>
      <c r="J22" s="2" t="inlineStr">
        <is>
          <t>Seasonal (first ice). Verified facts (C-2101–2103). The pond kit is reused later in winter content.</t>
        </is>
      </c>
      <c r="K22" s="2" t="inlineStr">
        <is>
          <t>M</t>
        </is>
      </c>
      <c r="L22" s="2" t="inlineStr">
        <is>
          <t>Second-person instruction title</t>
        </is>
      </c>
      <c r="M22" s="2" t="inlineStr">
        <is>
          <t>WS-021-BRIEF</t>
        </is>
      </c>
      <c r="N22" s="2" t="inlineStr">
        <is>
          <t>Tess</t>
        </is>
      </c>
      <c r="O22" s="2" t="inlineStr">
        <is>
          <t>R-B Real Rule</t>
        </is>
      </c>
      <c r="P22" s="2" t="inlineStr">
        <is>
          <t>ESCAPED — Back toward the ice that held her. REAL RULE: Fell through ice? Turn back the way you came. Kick, slide, roll.</t>
        </is>
      </c>
      <c r="Q22" s="2" t="inlineStr">
        <is>
          <t>K6 pond/ice; K9</t>
        </is>
      </c>
      <c r="R22" s="2" t="inlineStr">
        <is>
          <t>C-2101, C-2102, C-2103; C-2104 not shown unless verified</t>
        </is>
      </c>
      <c r="S22" s="2" t="inlineStr">
        <is>
          <t>R08 Cold Water Overboard</t>
        </is>
      </c>
    </row>
    <row r="23">
      <c r="A23" s="2" t="inlineStr">
        <is>
          <t>22</t>
        </is>
      </c>
      <c r="B23" s="2" t="inlineStr">
        <is>
          <t>2026-11-21</t>
        </is>
      </c>
      <c r="C23" s="2" t="inlineStr">
        <is>
          <t>Sat</t>
        </is>
      </c>
      <c r="D23" s="2" t="inlineStr">
        <is>
          <t>Subway train stopped in a tunnel as the outbreak reaches the rear car: walk the dark tunnel or hold the front car?</t>
        </is>
      </c>
      <c r="E23" s="2" t="inlineStr">
        <is>
          <t>The Subway Stopped in the Tunnel. Then the Lights Went Out.</t>
        </is>
      </c>
      <c r="F23" s="2" t="inlineStr">
        <is>
          <t>P1 OUTBREAK</t>
        </is>
      </c>
      <c r="G23" s="2" t="inlineStr">
        <is>
          <t>Frame 0: emergency-lit subway car stopped in a tunnel; passengers peering into the dark through the front window: 'Somewhere behind them, people started screaming.'</t>
        </is>
      </c>
      <c r="H23" s="2" t="inlineStr">
        <is>
          <t>Kai keeps people in the front car behind the latched sliding door the Turned can't open; when power returns the train rolls into the station</t>
        </is>
      </c>
      <c r="I23" s="2" t="inlineStr">
        <is>
          <t>60–64 s</t>
        </is>
      </c>
      <c r="J23" s="2" t="inlineStr">
        <is>
          <t>A weekend outbreak in week 4 with new tension (darkness). The heavy kit is scheduled late enough to build in week 2.</t>
        </is>
      </c>
      <c r="K23" s="2" t="inlineStr">
        <is>
          <t>H</t>
        </is>
      </c>
      <c r="L23" s="2" t="inlineStr">
        <is>
          <t>Darkness and sound-design emphasis (audio-led suspense)</t>
        </is>
      </c>
      <c r="M23" s="2" t="inlineStr">
        <is>
          <t>WS-022-BRIEF</t>
        </is>
      </c>
      <c r="N23" s="2" t="inlineStr">
        <is>
          <t>Kai</t>
        </is>
      </c>
      <c r="O23" s="2" t="inlineStr">
        <is>
          <t>R-A Location Outbreak</t>
        </is>
      </c>
      <c r="P23" s="2" t="inlineStr">
        <is>
          <t>SURVIVED — He held the car they couldn't open.</t>
        </is>
      </c>
      <c r="Q23" s="2" t="inlineStr">
        <is>
          <t>K8 subway car/tunnel (new); K10; K9</t>
        </is>
      </c>
      <c r="R23" s="2" t="inlineStr">
        <is>
          <t>WR-03, WR-04; avoid third-rail claims unless verified</t>
        </is>
      </c>
      <c r="S23" s="2" t="inlineStr">
        <is>
          <t>R04 Gas Station</t>
        </is>
      </c>
    </row>
    <row r="24">
      <c r="A24" s="2" t="inlineStr">
        <is>
          <t>23</t>
        </is>
      </c>
      <c r="B24" s="2" t="inlineStr">
        <is>
          <t>2026-11-22</t>
        </is>
      </c>
      <c r="C24" s="2" t="inlineStr">
        <is>
          <t>Sun</t>
        </is>
      </c>
      <c r="D24" s="2" t="inlineStr">
        <is>
          <t>Wildfire evacuation: one road out of the canyon, and the cost of waiting to pack</t>
        </is>
      </c>
      <c r="E24" s="2" t="inlineStr">
        <is>
          <t>Wildfire Evacuation: Why Waiting One More Hour Is Dangerous</t>
        </is>
      </c>
      <c r="F24" s="2" t="inlineStr">
        <is>
          <t>P2 REAL RULE</t>
        </is>
      </c>
      <c r="G24" s="2" t="inlineStr">
        <is>
          <t>Frame 0: orange sky, ash falling on Owen packing his truck: 'One road out. Time to pack, or time to leave.'</t>
        </is>
      </c>
      <c r="H24" s="2" t="inlineStr">
        <is>
          <t>Owen leaves when told rather than when he's ready, and passes the checkpoint before the road closes (pending verified guidance)</t>
        </is>
      </c>
      <c r="I24" s="2" t="inlineStr">
        <is>
          <t>56–60 s</t>
        </is>
      </c>
      <c r="J24" s="2" t="inlineStr">
        <is>
          <t>Conditional slot. Wildfire interest is high after recent fires [BK]. It needs verification of C-2301; reserve R01/R02 is ready.</t>
        </is>
      </c>
      <c r="K24" s="2" t="inlineStr">
        <is>
          <t>M</t>
        </is>
      </c>
      <c r="L24" s="2" t="inlineStr">
        <is>
          <t>Urgency hook in P2 (timer)</t>
        </is>
      </c>
      <c r="M24" s="2" t="inlineStr">
        <is>
          <t>WS-023-BRIEF</t>
        </is>
      </c>
      <c r="N24" s="2" t="inlineStr">
        <is>
          <t>Owen</t>
        </is>
      </c>
      <c r="O24" s="2" t="inlineStr">
        <is>
          <t>R-B Real Rule</t>
        </is>
      </c>
      <c r="P24" s="2" t="inlineStr">
        <is>
          <t>ESCAPED — He left when told, not when ready. (REAL RULE pending verification)</t>
        </is>
      </c>
      <c r="Q24" s="2" t="inlineStr">
        <is>
          <t>K6 canyon road; K2 truck; K9</t>
        </is>
      </c>
      <c r="R24" s="2" t="inlineStr">
        <is>
          <t>C-2301 (BLOCKING)</t>
        </is>
      </c>
      <c r="S24" s="2" t="inlineStr">
        <is>
          <t>R02 Six Inches of Water</t>
        </is>
      </c>
    </row>
    <row r="25">
      <c r="A25" s="2" t="inlineStr">
        <is>
          <t>24</t>
        </is>
      </c>
      <c r="B25" s="2" t="inlineStr">
        <is>
          <t>2026-11-23</t>
        </is>
      </c>
      <c r="C25" s="2" t="inlineStr">
        <is>
          <t>Mon</t>
        </is>
      </c>
      <c r="D25" s="2" t="inlineStr">
        <is>
          <t>Five people in a safe room, one hiding a bite; Mia notices who is cold when everyone else is warm</t>
        </is>
      </c>
      <c r="E25" s="2" t="inlineStr">
        <is>
          <t>Five People in a Safe Room. One Was Bitten.</t>
        </is>
      </c>
      <c r="F25" s="2" t="inlineStr">
        <is>
          <t>P1 OUTBREAK</t>
        </is>
      </c>
      <c r="G25" s="2" t="inlineStr">
        <is>
          <t>Frame 0: a barred basement safe room with five faces in candlelight; T1 'BITE → TURNED: 30–90 MIN': 'One of them was bitten. The clock was already running.'</t>
        </is>
      </c>
      <c r="H25" s="2" t="inlineStr">
        <is>
          <t>Suspicion falls on scratched, sweaty Tess (scratches don't transmit). Mia notices Nadia shivering in a warm room (fever). Nadia confesses and asks to be locked in the storage room</t>
        </is>
      </c>
      <c r="I25" s="2" t="inlineStr">
        <is>
          <t>62–66 s</t>
        </is>
      </c>
      <c r="J25" s="2" t="inlineStr">
        <is>
          <t>Retrieved evidence for hidden-infected mechanics [R-S24]. A single cheap set. Ensemble attachment before the final week.</t>
        </is>
      </c>
      <c r="K25" s="2" t="inlineStr">
        <is>
          <t>L</t>
        </is>
      </c>
      <c r="L25" s="2" t="inlineStr">
        <is>
          <t>Social-deduction format with child POV (comments guessing the culprit)</t>
        </is>
      </c>
      <c r="M25" s="2" t="inlineStr">
        <is>
          <t>WS-024-BRIEF</t>
        </is>
      </c>
      <c r="N25" s="2" t="inlineStr">
        <is>
          <t>Mia (ensemble)</t>
        </is>
      </c>
      <c r="O25" s="2" t="inlineStr">
        <is>
          <t>R-G Social deduction</t>
        </is>
      </c>
      <c r="P25" s="2" t="inlineStr">
        <is>
          <t>SURVIVED (4) — Mia watched who was cold, not scared.</t>
        </is>
      </c>
      <c r="Q25" s="2" t="inlineStr">
        <is>
          <t>K4 basement; K9</t>
        </is>
      </c>
      <c r="R25" s="2" t="inlineStr">
        <is>
          <t>WR-01 (fever, scratches don't transmit), WR-09</t>
        </is>
      </c>
      <c r="S25" s="2" t="inlineStr">
        <is>
          <t>R07 Wedding Reception</t>
        </is>
      </c>
    </row>
    <row r="26">
      <c r="A26" s="2" t="inlineStr">
        <is>
          <t>25</t>
        </is>
      </c>
      <c r="B26" s="2" t="inlineStr">
        <is>
          <t>2026-11-24</t>
        </is>
      </c>
      <c r="C26" s="2" t="inlineStr">
        <is>
          <t>Tue</t>
        </is>
      </c>
      <c r="D26" s="2" t="inlineStr">
        <is>
          <t>Avalanche companion rescue: the rescue team is whoever is standing there</t>
        </is>
      </c>
      <c r="E26" s="2" t="inlineStr">
        <is>
          <t>Avalanche: Why Your Friends Are Your Only Rescue</t>
        </is>
      </c>
      <c r="F26" s="2" t="inlineStr">
        <is>
          <t>P2 REAL RULE</t>
        </is>
      </c>
      <c r="G26" s="2" t="inlineStr">
        <is>
          <t>Frame 0: slope fractures, Tess's friend Jun swept away; a T1 clock starts counting UP from 00:00</t>
        </is>
      </c>
      <c r="H26" s="2" t="inlineStr">
        <is>
          <t>Tess searches immediately (beacon, probe, shovel) instead of going for help, and finds Jun in time (pending verified guidance)</t>
        </is>
      </c>
      <c r="I26" s="2" t="inlineStr">
        <is>
          <t>56–60 s</t>
        </is>
      </c>
      <c r="J26" s="2" t="inlineStr">
        <is>
          <t>Ski-season start. Conditional on C-2501 verification; reuses snow assets from Station Zero.</t>
        </is>
      </c>
      <c r="K26" s="2" t="inlineStr">
        <is>
          <t>M</t>
        </is>
      </c>
      <c r="L26" s="2" t="inlineStr">
        <is>
          <t>Count-up timer (vs Day 2 countdown)</t>
        </is>
      </c>
      <c r="M26" s="2" t="inlineStr">
        <is>
          <t>WS-025-BRIEF</t>
        </is>
      </c>
      <c r="N26" s="2" t="inlineStr">
        <is>
          <t>Tess</t>
        </is>
      </c>
      <c r="O26" s="2" t="inlineStr">
        <is>
          <t>R-D Countdown</t>
        </is>
      </c>
      <c r="P26" s="2" t="inlineStr">
        <is>
          <t>SURVIVED — She searched instead of going for help. (REAL RULE pending verification)</t>
        </is>
      </c>
      <c r="Q26" s="2" t="inlineStr">
        <is>
          <t>K6 snow slope (reuse); K9</t>
        </is>
      </c>
      <c r="R26" s="2" t="inlineStr">
        <is>
          <t>C-2501 (BLOCKING)</t>
        </is>
      </c>
      <c r="S26" s="2" t="inlineStr">
        <is>
          <t>R08 Cold Water Overboard</t>
        </is>
      </c>
    </row>
    <row r="27">
      <c r="A27" s="2" t="inlineStr">
        <is>
          <t>26</t>
        </is>
      </c>
      <c r="B27" s="2" t="inlineStr">
        <is>
          <t>2026-11-25</t>
        </is>
      </c>
      <c r="C27" s="2" t="inlineStr">
        <is>
          <t>Wed</t>
        </is>
      </c>
      <c r="D27" s="2" t="inlineStr">
        <is>
          <t>Outbreak at the airport the day before Thanksgiving: everyone runs for the main doors; Kai moves against the crowd</t>
        </is>
      </c>
      <c r="E27" s="2" t="inlineStr">
        <is>
          <t>Zombie Outbreak at the Airport the Day Before Thanksgiving</t>
        </is>
      </c>
      <c r="F27" s="2" t="inlineStr">
        <is>
          <t>P1 OUTBREAK</t>
        </is>
      </c>
      <c r="G27" s="2" t="inlineStr">
        <is>
          <t>Frame 0: a packed terminal with a departures board full of DELAYED; a surge at security; Kai and Mia with backpacks: 'Then the outbreak reached security.'</t>
        </is>
      </c>
      <c r="H27" s="2" t="inlineStr">
        <is>
          <t>The crowd Sphere surges to the jammed main doors (WR-07); Kai takes Mia to an empty gate where an agent lets them through the jet-bridge door and down to a ground-crew van</t>
        </is>
      </c>
      <c r="I27" s="2" t="inlineStr">
        <is>
          <t>62–66 s</t>
        </is>
      </c>
      <c r="J27" s="2" t="inlineStr">
        <is>
          <t>The day before Thanksgiving is popularly described as one of the busiest travel days [BK, unverified, so it is not claimed on screen or in the title]. It reuses the Day 6 cabin kit for the parked plane.</t>
        </is>
      </c>
      <c r="K27" s="2" t="inlineStr">
        <is>
          <t>M/H (reuses plane kit)</t>
        </is>
      </c>
      <c r="L27" s="2" t="inlineStr">
        <is>
          <t>Seasonal timing (day before US Thanksgiving)</t>
        </is>
      </c>
      <c r="M27" s="2" t="inlineStr">
        <is>
          <t>WS-026-BRIEF</t>
        </is>
      </c>
      <c r="N27" s="2" t="inlineStr">
        <is>
          <t>Kai + Mia</t>
        </is>
      </c>
      <c r="O27" s="2" t="inlineStr">
        <is>
          <t>R-A Location Outbreak</t>
        </is>
      </c>
      <c r="P27" s="2" t="inlineStr">
        <is>
          <t>ESCAPED — Away from the crowd, not with it.</t>
        </is>
      </c>
      <c r="Q27" s="2" t="inlineStr">
        <is>
          <t>K8 terminal + jet bridge + plane (reuse); K10; K9</t>
        </is>
      </c>
      <c r="R27" s="2" t="inlineStr">
        <is>
          <t>WR-03, WR-07, WR-04</t>
        </is>
      </c>
      <c r="S27" s="2" t="inlineStr">
        <is>
          <t>R09 Cruise Ship</t>
        </is>
      </c>
    </row>
    <row r="28">
      <c r="A28" s="2" t="inlineStr">
        <is>
          <t>27</t>
        </is>
      </c>
      <c r="B28" s="2" t="inlineStr">
        <is>
          <t>2026-11-26</t>
        </is>
      </c>
      <c r="C28" s="2" t="inlineStr">
        <is>
          <t>Thu</t>
        </is>
      </c>
      <c r="D28" s="2" t="inlineStr">
        <is>
          <t>Thanksgiving grease / turkey-fryer fire: why water is the wrong instinct</t>
        </is>
      </c>
      <c r="E28" s="2" t="inlineStr">
        <is>
          <t>Why You Never Put Water on a Grease Fire</t>
        </is>
      </c>
      <c r="F28" s="2" t="inlineStr">
        <is>
          <t>P2 REAL RULE</t>
        </is>
      </c>
      <c r="G28" s="2" t="inlineStr">
        <is>
          <t>Frame 0: a backyard fryer flares; a cousin runs at it with a pitcher of water; Owen's hand comes up: 'On Thanksgiving, the most dangerous thing isn't the knife.'</t>
        </is>
      </c>
      <c r="H28" s="2" t="inlineStr">
        <is>
          <t>Owen stops the water, cuts the gas and smothers the fire per verified guidance; the Fork shows the water preview as a flare-up without injuries</t>
        </is>
      </c>
      <c r="I28" s="2" t="inlineStr">
        <is>
          <t>48–52 s</t>
        </is>
      </c>
      <c r="J28" s="2" t="inlineStr">
        <is>
          <t>US Thanksgiving. Conditional on verifying C-2701 (NFPA/USFA); reserve R01 is ready.</t>
        </is>
      </c>
      <c r="K28" s="2" t="inlineStr">
        <is>
          <t>L</t>
        </is>
      </c>
      <c r="L28" s="2" t="inlineStr">
        <is>
          <t>Seasonal Real Rule on the holiday itself</t>
        </is>
      </c>
      <c r="M28" s="2" t="inlineStr">
        <is>
          <t>WS-027-BRIEF</t>
        </is>
      </c>
      <c r="N28" s="2" t="inlineStr">
        <is>
          <t>Owen</t>
        </is>
      </c>
      <c r="O28" s="2" t="inlineStr">
        <is>
          <t>R-B Real Rule</t>
        </is>
      </c>
      <c r="P28" s="2" t="inlineStr">
        <is>
          <t>SAFE — He cut the heat and smothered it. (REAL RULE pending verification)</t>
        </is>
      </c>
      <c r="Q28" s="2" t="inlineStr">
        <is>
          <t>K4 backyard/kitchen; K9</t>
        </is>
      </c>
      <c r="R28" s="2" t="inlineStr">
        <is>
          <t>C-2701 (BLOCKING)</t>
        </is>
      </c>
      <c r="S28" s="2" t="inlineStr">
        <is>
          <t>R01 Lightning</t>
        </is>
      </c>
    </row>
    <row r="29">
      <c r="A29" s="2" t="inlineStr">
        <is>
          <t>28</t>
        </is>
      </c>
      <c r="B29" s="2" t="inlineStr">
        <is>
          <t>2026-11-27</t>
        </is>
      </c>
      <c r="C29" s="2" t="inlineStr">
        <is>
          <t>Fri</t>
        </is>
      </c>
      <c r="D29" s="2" t="inlineStr">
        <is>
          <t>Black Friday crowd surge: pressure is the danger; how to stay upright and get out (sensitive; no victims depicted)</t>
        </is>
      </c>
      <c r="E29" s="2" t="inlineStr">
        <is>
          <t>Caught in a Crowd Surge: How to Stay on Your Feet</t>
        </is>
      </c>
      <c r="F29" s="2" t="inlineStr">
        <is>
          <t>P2 REAL RULE</t>
        </is>
      </c>
      <c r="G29" s="2" t="inlineStr">
        <is>
          <t>Frame 0: a dense pre-dawn crowd at store doors; a red pressure Sphere building around Tess: 'The danger wasn't the people. It was the pressure.'</t>
        </is>
      </c>
      <c r="H29" s="2" t="inlineStr">
        <is>
          <t>Tess keeps her feet, protects her chest and moves diagonally with the flow to a gap at the edge (pending verified guidance)</t>
        </is>
      </c>
      <c r="I29" s="2" t="inlineStr">
        <is>
          <t>56–60 s</t>
        </is>
      </c>
      <c r="J29" s="2" t="inlineStr">
        <is>
          <t>Black Friday. Conditional on verifying C-2801 plus a sensitivity review; reserve R02 is ready.</t>
        </is>
      </c>
      <c r="K29" s="2" t="inlineStr">
        <is>
          <t>M (reuses store kit)</t>
        </is>
      </c>
      <c r="L29" s="2" t="inlineStr">
        <is>
          <t>Sensitive-topic handling (comment sentiment, corrections)</t>
        </is>
      </c>
      <c r="M29" s="2" t="inlineStr">
        <is>
          <t>WS-028-BRIEF</t>
        </is>
      </c>
      <c r="N29" s="2" t="inlineStr">
        <is>
          <t>Tess</t>
        </is>
      </c>
      <c r="O29" s="2" t="inlineStr">
        <is>
          <t>R-B Real Rule</t>
        </is>
      </c>
      <c r="P29" s="2" t="inlineStr">
        <is>
          <t>SAFE — With the crowd, then out of it. (REAL RULE pending verification)</t>
        </is>
      </c>
      <c r="Q29" s="2" t="inlineStr">
        <is>
          <t>K3 store exterior (reuse); K10 crowd; K9</t>
        </is>
      </c>
      <c r="R29" s="2" t="inlineStr">
        <is>
          <t>C-2801 (BLOCKING)</t>
        </is>
      </c>
      <c r="S29" s="2" t="inlineStr">
        <is>
          <t>R02 Six Inches of Water</t>
        </is>
      </c>
    </row>
    <row r="30">
      <c r="A30" s="2" t="inlineStr">
        <is>
          <t>29</t>
        </is>
      </c>
      <c r="B30" s="2" t="inlineStr">
        <is>
          <t>2026-11-28</t>
        </is>
      </c>
      <c r="C30" s="2" t="inlineStr">
        <is>
          <t>Sat</t>
        </is>
      </c>
      <c r="D30" s="2" t="inlineStr">
        <is>
          <t>Stranded in a blizzard three miles from town: walk for help or stay with the car? Both endings</t>
        </is>
      </c>
      <c r="E30" s="2" t="inlineStr">
        <is>
          <t>Stranded in a Blizzard: Walk for Help or Stay in the Car?</t>
        </is>
      </c>
      <c r="F30" s="2" t="inlineStr">
        <is>
          <t>P2 REAL RULE</t>
        </is>
      </c>
      <c r="G30" s="2" t="inlineStr">
        <is>
          <t>Frame 0: a half-buried car on a rural road at night, with the Fork already split: WALK vs WAIT</t>
        </is>
      </c>
      <c r="H30" s="2" t="inlineStr">
        <is>
          <t>Walk: whiteout, they lose the road and are found at dawn with frostbite (LOST). Wait: exhaust pipe cleared, engine run in short bursts, car made visible, plough finds them (SURVIVED), per verified guidance</t>
        </is>
      </c>
      <c r="I30" s="2" t="inlineStr">
        <is>
          <t>66–70 s</t>
        </is>
      </c>
      <c r="J30" s="2" t="inlineStr">
        <is>
          <t>Winter weekend. A natural bridge to December's winter theme. Conditional on verifying C-2901.</t>
        </is>
      </c>
      <c r="K30" s="2" t="inlineStr">
        <is>
          <t>M</t>
        </is>
      </c>
      <c r="L30" s="2" t="inlineStr">
        <is>
          <t>Both Endings on P2 (third Both Endings data point)</t>
        </is>
      </c>
      <c r="M30" s="2" t="inlineStr">
        <is>
          <t>WS-029-BRIEF</t>
        </is>
      </c>
      <c r="N30" s="2" t="inlineStr">
        <is>
          <t>Kai + Mia</t>
        </is>
      </c>
      <c r="O30" s="2" t="inlineStr">
        <is>
          <t>R-C Both Endings</t>
        </is>
      </c>
      <c r="P30" s="2" t="inlineStr">
        <is>
          <t>WALK: LOST · WAIT: SURVIVED — Stay with the car. (REAL RULE pending verification)</t>
        </is>
      </c>
      <c r="Q30" s="2" t="inlineStr">
        <is>
          <t>K2 car + snow road (reuse); K9</t>
        </is>
      </c>
      <c r="R30" s="2" t="inlineStr">
        <is>
          <t>C-2901 (BLOCKING)</t>
        </is>
      </c>
      <c r="S30" s="2" t="inlineStr">
        <is>
          <t>R02 Six Inches of Water</t>
        </is>
      </c>
    </row>
    <row r="31">
      <c r="A31" s="2" t="inlineStr">
        <is>
          <t>30</t>
        </is>
      </c>
      <c r="B31" s="2" t="inlineStr">
        <is>
          <t>2026-11-29</t>
        </is>
      </c>
      <c r="C31" s="2" t="inlineStr">
        <is>
          <t>Sun</t>
        </is>
      </c>
      <c r="D31" s="2" t="inlineStr">
        <is>
          <t>The last bus over the mountain pass before it closes: the cast meets, and each skill matters</t>
        </is>
      </c>
      <c r="E31" s="2" t="inlineStr">
        <is>
          <t>The Last Bus Out of the City Before the Pass Closes</t>
        </is>
      </c>
      <c r="F31" s="2" t="inlineStr">
        <is>
          <t>P1 OUTBREAK</t>
        </is>
      </c>
      <c r="G31" s="2" t="inlineStr">
        <is>
          <t>Frame 0: a snowy bus depot at night; a bus sign 'MOUNTAIN PASS — LAST DEPARTURE'; four figures converging from different directions</t>
        </is>
      </c>
      <c r="H31" s="2" t="inlineStr">
        <is>
          <t>Kai spots a passenger with no breath (WR-02 callback); Tess drives when the driver runs; Owen knows the pass; they cross before the gate closes and reach Owen's cabin</t>
        </is>
      </c>
      <c r="I31" s="2" t="inlineStr">
        <is>
          <t>68–72 s</t>
        </is>
      </c>
      <c r="J31" s="2" t="inlineStr">
        <is>
          <t>Closes the month by uniting the cast and setting up December's winter season. It rewards returning viewers (callbacks to Days 1, 3, 9) while standing alone.</t>
        </is>
      </c>
      <c r="K31" s="2" t="inlineStr">
        <is>
          <t>H</t>
        </is>
      </c>
      <c r="L31" s="2" t="inlineStr">
        <is>
          <t>Ensemble + forward hook: subscribers gained and returning viewers in the first days of December</t>
        </is>
      </c>
      <c r="M31" s="2" t="inlineStr">
        <is>
          <t>WS-030-BRIEF</t>
        </is>
      </c>
      <c r="N31" s="2" t="inlineStr">
        <is>
          <t>Kai, Mia, Tess, Owen</t>
        </is>
      </c>
      <c r="O31" s="2" t="inlineStr">
        <is>
          <t>R-A Location Outbreak (ensemble)</t>
        </is>
      </c>
      <c r="P31" s="2" t="inlineStr">
        <is>
          <t>SURVIVED — Four strangers, one plan. (Forward line: 'December: The Long Winter.')</t>
        </is>
      </c>
      <c r="Q31" s="2" t="inlineStr">
        <is>
          <t>K2 bus/road (snow); depot (new); K10; K9</t>
        </is>
      </c>
      <c r="R31" s="2" t="inlineStr">
        <is>
          <t>WR-02, WR-08</t>
        </is>
      </c>
      <c r="S31" s="2" t="inlineStr">
        <is>
          <t>R07 Wedding Reception</t>
        </is>
      </c>
    </row>
  </sheetData>
  <autoFilter ref="A1:S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55" customWidth="1" min="5" max="5"/>
    <col width="19" customWidth="1" min="6" max="6"/>
    <col width="17" customWidth="1" min="7" max="7"/>
    <col width="32" customWidth="1" min="8" max="8"/>
  </cols>
  <sheetData>
    <row r="1">
      <c r="A1" s="1" t="inlineStr">
        <is>
          <t>Day</t>
        </is>
      </c>
      <c r="B1" s="1" t="inlineStr">
        <is>
          <t>Date</t>
        </is>
      </c>
      <c r="C1" s="1" t="inlineStr">
        <is>
          <t>Weekday</t>
        </is>
      </c>
      <c r="D1" s="1" t="inlineStr">
        <is>
          <t>Episode</t>
        </is>
      </c>
      <c r="E1" s="1" t="inlineStr">
        <is>
          <t>Title</t>
        </is>
      </c>
      <c r="F1" s="1" t="inlineStr">
        <is>
          <t>Lead</t>
        </is>
      </c>
      <c r="G1" s="1" t="inlineStr">
        <is>
          <t>Original slot</t>
        </is>
      </c>
      <c r="H1" s="1" t="inlineStr">
        <is>
          <t>Pinned reason</t>
        </is>
      </c>
    </row>
    <row r="2">
      <c r="A2" s="2" t="inlineStr">
        <is>
          <t>1</t>
        </is>
      </c>
      <c r="B2" s="2" t="inlineStr">
        <is>
          <t>2026-11-09</t>
        </is>
      </c>
      <c r="C2" s="2" t="inlineStr">
        <is>
          <t>Mon</t>
        </is>
      </c>
      <c r="D2" s="2" t="inlineStr">
        <is>
          <t>WS-003</t>
        </is>
      </c>
      <c r="E2" s="2" t="inlineStr">
        <is>
          <t>Everyone Says the Superstore Is the Best Place to Survive</t>
        </is>
      </c>
      <c r="F2" s="2" t="inlineStr">
        <is>
          <t>Tess</t>
        </is>
      </c>
      <c r="G2" s="2" t="inlineStr">
        <is>
          <t>Day 3 (2026-11-02)</t>
        </is>
      </c>
      <c r="H2" s="2" t="inlineStr"/>
    </row>
    <row r="3">
      <c r="A3" s="2" t="inlineStr">
        <is>
          <t>2</t>
        </is>
      </c>
      <c r="B3" s="2" t="inlineStr">
        <is>
          <t>2026-11-10</t>
        </is>
      </c>
      <c r="C3" s="2" t="inlineStr">
        <is>
          <t>Tue</t>
        </is>
      </c>
      <c r="D3" s="2" t="inlineStr">
        <is>
          <t>WS-002</t>
        </is>
      </c>
      <c r="E3" s="2" t="inlineStr">
        <is>
          <t>Your Car Is Sinking. You Have About One Minute.</t>
        </is>
      </c>
      <c r="F3" s="2" t="inlineStr">
        <is>
          <t>Owen</t>
        </is>
      </c>
      <c r="G3" s="2" t="inlineStr">
        <is>
          <t>Day 2 (2026-11-01)</t>
        </is>
      </c>
      <c r="H3" s="2" t="inlineStr"/>
    </row>
    <row r="4">
      <c r="A4" s="2" t="inlineStr">
        <is>
          <t>3</t>
        </is>
      </c>
      <c r="B4" s="2" t="inlineStr">
        <is>
          <t>2026-11-11</t>
        </is>
      </c>
      <c r="C4" s="2" t="inlineStr">
        <is>
          <t>Wed</t>
        </is>
      </c>
      <c r="D4" s="2" t="inlineStr">
        <is>
          <t>WS-004</t>
        </is>
      </c>
      <c r="E4" s="2" t="inlineStr">
        <is>
          <t>Why You Shouldn't Run to the Doorway in an Earthquake</t>
        </is>
      </c>
      <c r="F4" s="2" t="inlineStr">
        <is>
          <t>Kai</t>
        </is>
      </c>
      <c r="G4" s="2" t="inlineStr">
        <is>
          <t>Day 4 (2026-11-03)</t>
        </is>
      </c>
      <c r="H4" s="2" t="inlineStr"/>
    </row>
    <row r="5">
      <c r="A5" s="2" t="inlineStr">
        <is>
          <t>4</t>
        </is>
      </c>
      <c r="B5" s="2" t="inlineStr">
        <is>
          <t>2026-11-12</t>
        </is>
      </c>
      <c r="C5" s="2" t="inlineStr">
        <is>
          <t>Thu</t>
        </is>
      </c>
      <c r="D5" s="2" t="inlineStr">
        <is>
          <t>WS-005</t>
        </is>
      </c>
      <c r="E5" s="2" t="inlineStr">
        <is>
          <t>The Blackout Mistake That's More Dangerous Than the Storm</t>
        </is>
      </c>
      <c r="F5" s="2" t="inlineStr">
        <is>
          <t>Owen</t>
        </is>
      </c>
      <c r="G5" s="2" t="inlineStr">
        <is>
          <t>Day 5 (2026-11-04)</t>
        </is>
      </c>
      <c r="H5" s="2" t="inlineStr"/>
    </row>
    <row r="6">
      <c r="A6" s="2" t="inlineStr">
        <is>
          <t>5</t>
        </is>
      </c>
      <c r="B6" s="2" t="inlineStr">
        <is>
          <t>2026-11-13</t>
        </is>
      </c>
      <c r="C6" s="2" t="inlineStr">
        <is>
          <t>Fri</t>
        </is>
      </c>
      <c r="D6" s="2" t="inlineStr">
        <is>
          <t>WS-006</t>
        </is>
      </c>
      <c r="E6" s="2" t="inlineStr">
        <is>
          <t>A Zombie Outbreak at 35,000 Feet: What Would You Do?</t>
        </is>
      </c>
      <c r="F6" s="2" t="inlineStr">
        <is>
          <t>Tess</t>
        </is>
      </c>
      <c r="G6" s="2" t="inlineStr">
        <is>
          <t>Day 6 (2026-11-05)</t>
        </is>
      </c>
      <c r="H6" s="2" t="inlineStr"/>
    </row>
    <row r="7">
      <c r="A7" s="2" t="inlineStr">
        <is>
          <t>6</t>
        </is>
      </c>
      <c r="B7" s="2" t="inlineStr">
        <is>
          <t>2026-11-14</t>
        </is>
      </c>
      <c r="C7" s="2" t="inlineStr">
        <is>
          <t>Sat</t>
        </is>
      </c>
      <c r="D7" s="2" t="inlineStr">
        <is>
          <t>WS-007</t>
        </is>
      </c>
      <c r="E7" s="2" t="inlineStr">
        <is>
          <t>Roof or Basement? We Played Both Endings</t>
        </is>
      </c>
      <c r="F7" s="2" t="inlineStr">
        <is>
          <t>Kai + Mia</t>
        </is>
      </c>
      <c r="G7" s="2" t="inlineStr">
        <is>
          <t>Day 7 (2026-11-06)</t>
        </is>
      </c>
      <c r="H7" s="2" t="inlineStr"/>
    </row>
    <row r="8">
      <c r="A8" s="2" t="inlineStr">
        <is>
          <t>7</t>
        </is>
      </c>
      <c r="B8" s="2" t="inlineStr">
        <is>
          <t>2026-11-15</t>
        </is>
      </c>
      <c r="C8" s="2" t="inlineStr">
        <is>
          <t>Sun</t>
        </is>
      </c>
      <c r="D8" s="2" t="inlineStr">
        <is>
          <t>WS-008</t>
        </is>
      </c>
      <c r="E8" s="2" t="inlineStr">
        <is>
          <t>Why the Highway Overpass Is the Worst Place in a Tornado</t>
        </is>
      </c>
      <c r="F8" s="2" t="inlineStr">
        <is>
          <t>Tess</t>
        </is>
      </c>
      <c r="G8" s="2" t="inlineStr">
        <is>
          <t>Day 8 (2026-11-07)</t>
        </is>
      </c>
      <c r="H8" s="2" t="inlineStr"/>
    </row>
    <row r="9">
      <c r="A9" s="2" t="inlineStr">
        <is>
          <t>8</t>
        </is>
      </c>
      <c r="B9" s="2" t="inlineStr">
        <is>
          <t>2026-11-16</t>
        </is>
      </c>
      <c r="C9" s="2" t="inlineStr">
        <is>
          <t>Mon</t>
        </is>
      </c>
      <c r="D9" s="2" t="inlineStr">
        <is>
          <t>WS-009</t>
        </is>
      </c>
      <c r="E9" s="2" t="inlineStr">
        <is>
          <t>Zombies Can't Swim. So Why Wasn't the Boat Safe?</t>
        </is>
      </c>
      <c r="F9" s="2" t="inlineStr">
        <is>
          <t>Owen</t>
        </is>
      </c>
      <c r="G9" s="2" t="inlineStr">
        <is>
          <t>Day 9 (2026-11-08)</t>
        </is>
      </c>
      <c r="H9" s="2" t="inlineStr"/>
    </row>
    <row r="10">
      <c r="A10" s="2" t="inlineStr">
        <is>
          <t>9</t>
        </is>
      </c>
      <c r="B10" s="2" t="inlineStr">
        <is>
          <t>2026-11-17</t>
        </is>
      </c>
      <c r="C10" s="2" t="inlineStr">
        <is>
          <t>Tue</t>
        </is>
      </c>
      <c r="D10" s="2" t="inlineStr">
        <is>
          <t>WS-018</t>
        </is>
      </c>
      <c r="E10" s="2" t="inlineStr">
        <is>
          <t>If You See a Flash in the Sky, Don't Go to the Window</t>
        </is>
      </c>
      <c r="F10" s="2" t="inlineStr">
        <is>
          <t>Tess</t>
        </is>
      </c>
      <c r="G10" s="2" t="inlineStr">
        <is>
          <t>Day 18 (2026-11-17)</t>
        </is>
      </c>
      <c r="H10" s="2" t="inlineStr">
        <is>
          <t>Leonid week (if C-1802 verified)</t>
        </is>
      </c>
    </row>
    <row r="11">
      <c r="A11" s="2" t="inlineStr">
        <is>
          <t>10</t>
        </is>
      </c>
      <c r="B11" s="2" t="inlineStr">
        <is>
          <t>2026-11-18</t>
        </is>
      </c>
      <c r="C11" s="2" t="inlineStr">
        <is>
          <t>Wed</t>
        </is>
      </c>
      <c r="D11" s="2" t="inlineStr">
        <is>
          <t>WS-010</t>
        </is>
      </c>
      <c r="E11" s="2" t="inlineStr">
        <is>
          <t>When the Power Goes Out for Days, This Is What Fails First</t>
        </is>
      </c>
      <c r="F11" s="2" t="inlineStr">
        <is>
          <t>Kai + Mia (Owen cameo)</t>
        </is>
      </c>
      <c r="G11" s="2" t="inlineStr">
        <is>
          <t>Day 10 (2026-11-09)</t>
        </is>
      </c>
      <c r="H11" s="2" t="inlineStr"/>
    </row>
    <row r="12">
      <c r="A12" s="2" t="inlineStr">
        <is>
          <t>11</t>
        </is>
      </c>
      <c r="B12" s="2" t="inlineStr">
        <is>
          <t>2026-11-19</t>
        </is>
      </c>
      <c r="C12" s="2" t="inlineStr">
        <is>
          <t>Thu</t>
        </is>
      </c>
      <c r="D12" s="2" t="inlineStr">
        <is>
          <t>WS-012</t>
        </is>
      </c>
      <c r="E12" s="2" t="inlineStr">
        <is>
          <t>House Fire at 3 A.M.: The One Thing That Buys You Time</t>
        </is>
      </c>
      <c r="F12" s="2" t="inlineStr">
        <is>
          <t>Owen</t>
        </is>
      </c>
      <c r="G12" s="2" t="inlineStr">
        <is>
          <t>Day 12 (2026-11-11)</t>
        </is>
      </c>
      <c r="H12" s="2" t="inlineStr"/>
    </row>
    <row r="13">
      <c r="A13" s="2" t="inlineStr">
        <is>
          <t>12</t>
        </is>
      </c>
      <c r="B13" s="2" t="inlineStr">
        <is>
          <t>2026-11-20</t>
        </is>
      </c>
      <c r="C13" s="2" t="inlineStr">
        <is>
          <t>Fri</t>
        </is>
      </c>
      <c r="D13" s="2" t="inlineStr">
        <is>
          <t>WS-011</t>
        </is>
      </c>
      <c r="E13" s="2" t="inlineStr">
        <is>
          <t>Zombie Outbreak in Your Apartment Building: Go Up or Down?</t>
        </is>
      </c>
      <c r="F13" s="2" t="inlineStr">
        <is>
          <t>Tess</t>
        </is>
      </c>
      <c r="G13" s="2" t="inlineStr">
        <is>
          <t>Day 11 (2026-11-10)</t>
        </is>
      </c>
      <c r="H13" s="2" t="inlineStr"/>
    </row>
    <row r="14">
      <c r="A14" s="2" t="inlineStr">
        <is>
          <t>13</t>
        </is>
      </c>
      <c r="B14" s="2" t="inlineStr">
        <is>
          <t>2026-11-21</t>
        </is>
      </c>
      <c r="C14" s="2" t="inlineStr">
        <is>
          <t>Sat</t>
        </is>
      </c>
      <c r="D14" s="2" t="inlineStr">
        <is>
          <t>WS-015</t>
        </is>
      </c>
      <c r="E14" s="2" t="inlineStr">
        <is>
          <t>The Last Place on Earth Without the Outbreak (Part 1)</t>
        </is>
      </c>
      <c r="F14" s="2" t="inlineStr">
        <is>
          <t>Owen</t>
        </is>
      </c>
      <c r="G14" s="2" t="inlineStr">
        <is>
          <t>Day 15 (2026-11-14)</t>
        </is>
      </c>
      <c r="H14" s="2" t="inlineStr">
        <is>
          <t>Saga Part 1 on a Saturday</t>
        </is>
      </c>
    </row>
    <row r="15">
      <c r="A15" s="2" t="inlineStr">
        <is>
          <t>14</t>
        </is>
      </c>
      <c r="B15" s="2" t="inlineStr">
        <is>
          <t>2026-11-22</t>
        </is>
      </c>
      <c r="C15" s="2" t="inlineStr">
        <is>
          <t>Sun</t>
        </is>
      </c>
      <c r="D15" s="2" t="inlineStr">
        <is>
          <t>WS-016</t>
        </is>
      </c>
      <c r="E15" s="2" t="inlineStr">
        <is>
          <t>Station Zero Part 2: The Only Weapon Was the Cold</t>
        </is>
      </c>
      <c r="F15" s="2" t="inlineStr">
        <is>
          <t>Owen</t>
        </is>
      </c>
      <c r="G15" s="2" t="inlineStr">
        <is>
          <t>Day 16 (2026-11-15)</t>
        </is>
      </c>
      <c r="H15" s="2" t="inlineStr">
        <is>
          <t>Saga Part 2 on the next day (Sunday)</t>
        </is>
      </c>
    </row>
    <row r="16">
      <c r="A16" s="2" t="inlineStr">
        <is>
          <t>15</t>
        </is>
      </c>
      <c r="B16" s="2" t="inlineStr">
        <is>
          <t>2026-11-23</t>
        </is>
      </c>
      <c r="C16" s="2" t="inlineStr">
        <is>
          <t>Mon</t>
        </is>
      </c>
      <c r="D16" s="2" t="inlineStr">
        <is>
          <t>WS-013</t>
        </is>
      </c>
      <c r="E16" s="2" t="inlineStr">
        <is>
          <t>Zombie Outbreak in a Movie Theater: Nobody Noticed the Screams</t>
        </is>
      </c>
      <c r="F16" s="2" t="inlineStr">
        <is>
          <t>Kai</t>
        </is>
      </c>
      <c r="G16" s="2" t="inlineStr">
        <is>
          <t>Day 13 (2026-11-12)</t>
        </is>
      </c>
      <c r="H16" s="2" t="inlineStr"/>
    </row>
    <row r="17">
      <c r="A17" s="2" t="inlineStr">
        <is>
          <t>16</t>
        </is>
      </c>
      <c r="B17" s="2" t="inlineStr">
        <is>
          <t>2026-11-24</t>
        </is>
      </c>
      <c r="C17" s="2" t="inlineStr">
        <is>
          <t>Tue</t>
        </is>
      </c>
      <c r="D17" s="2" t="inlineStr">
        <is>
          <t>WS-014</t>
        </is>
      </c>
      <c r="E17" s="2" t="inlineStr">
        <is>
          <t>7 Days of Warning Before the Outbreak: Stay or Leave?</t>
        </is>
      </c>
      <c r="F17" s="2" t="inlineStr">
        <is>
          <t>Tess</t>
        </is>
      </c>
      <c r="G17" s="2" t="inlineStr">
        <is>
          <t>Day 14 (2026-11-13)</t>
        </is>
      </c>
      <c r="H17" s="2" t="inlineStr"/>
    </row>
    <row r="18">
      <c r="A18" s="2" t="inlineStr">
        <is>
          <t>17</t>
        </is>
      </c>
      <c r="B18" s="2" t="inlineStr">
        <is>
          <t>2026-11-25</t>
        </is>
      </c>
      <c r="C18" s="2" t="inlineStr">
        <is>
          <t>Wed</t>
        </is>
      </c>
      <c r="D18" s="2" t="inlineStr">
        <is>
          <t>WS-026</t>
        </is>
      </c>
      <c r="E18" s="2" t="inlineStr">
        <is>
          <t>Zombie Outbreak at the Airport the Day Before Thanksgiving</t>
        </is>
      </c>
      <c r="F18" s="2" t="inlineStr">
        <is>
          <t>Kai + Mia</t>
        </is>
      </c>
      <c r="G18" s="2" t="inlineStr">
        <is>
          <t>Day 26 (2026-11-25)</t>
        </is>
      </c>
      <c r="H18" s="2" t="inlineStr">
        <is>
          <t>Day before US Thanksgiving</t>
        </is>
      </c>
    </row>
    <row r="19">
      <c r="A19" s="2" t="inlineStr">
        <is>
          <t>18</t>
        </is>
      </c>
      <c r="B19" s="2" t="inlineStr">
        <is>
          <t>2026-11-26</t>
        </is>
      </c>
      <c r="C19" s="2" t="inlineStr">
        <is>
          <t>Thu</t>
        </is>
      </c>
      <c r="D19" s="2" t="inlineStr">
        <is>
          <t>WS-027</t>
        </is>
      </c>
      <c r="E19" s="2" t="inlineStr">
        <is>
          <t>Why You Never Put Water on a Grease Fire</t>
        </is>
      </c>
      <c r="F19" s="2" t="inlineStr">
        <is>
          <t>Owen</t>
        </is>
      </c>
      <c r="G19" s="2" t="inlineStr">
        <is>
          <t>Day 27 (2026-11-26)</t>
        </is>
      </c>
      <c r="H19" s="2" t="inlineStr">
        <is>
          <t>US Thanksgiving</t>
        </is>
      </c>
    </row>
    <row r="20">
      <c r="A20" s="2" t="inlineStr">
        <is>
          <t>19</t>
        </is>
      </c>
      <c r="B20" s="2" t="inlineStr">
        <is>
          <t>2026-11-27</t>
        </is>
      </c>
      <c r="C20" s="2" t="inlineStr">
        <is>
          <t>Fri</t>
        </is>
      </c>
      <c r="D20" s="2" t="inlineStr">
        <is>
          <t>WS-028</t>
        </is>
      </c>
      <c r="E20" s="2" t="inlineStr">
        <is>
          <t>Caught in a Crowd Surge: How to Stay on Your Feet</t>
        </is>
      </c>
      <c r="F20" s="2" t="inlineStr">
        <is>
          <t>Tess</t>
        </is>
      </c>
      <c r="G20" s="2" t="inlineStr">
        <is>
          <t>Day 28 (2026-11-27)</t>
        </is>
      </c>
      <c r="H20" s="2" t="inlineStr">
        <is>
          <t>Black Friday</t>
        </is>
      </c>
    </row>
    <row r="21">
      <c r="A21" s="2" t="inlineStr">
        <is>
          <t>20</t>
        </is>
      </c>
      <c r="B21" s="2" t="inlineStr">
        <is>
          <t>2026-11-28</t>
        </is>
      </c>
      <c r="C21" s="2" t="inlineStr">
        <is>
          <t>Sat</t>
        </is>
      </c>
      <c r="D21" s="2" t="inlineStr">
        <is>
          <t>WS-017</t>
        </is>
      </c>
      <c r="E21" s="2" t="inlineStr">
        <is>
          <t>Caught in a Rip Current? Don't Swim Back to Shore.</t>
        </is>
      </c>
      <c r="F21" s="2" t="inlineStr">
        <is>
          <t>Kai</t>
        </is>
      </c>
      <c r="G21" s="2" t="inlineStr">
        <is>
          <t>Day 17 (2026-11-16)</t>
        </is>
      </c>
      <c r="H21" s="2" t="inlineStr"/>
    </row>
    <row r="22">
      <c r="A22" s="2" t="inlineStr">
        <is>
          <t>21</t>
        </is>
      </c>
      <c r="B22" s="2" t="inlineStr">
        <is>
          <t>2026-11-29</t>
        </is>
      </c>
      <c r="C22" s="2" t="inlineStr">
        <is>
          <t>Sun</t>
        </is>
      </c>
      <c r="D22" s="2" t="inlineStr">
        <is>
          <t>WS-021</t>
        </is>
      </c>
      <c r="E22" s="2" t="inlineStr">
        <is>
          <t>Fell Through the Ice? Turn Back the Way You Came.</t>
        </is>
      </c>
      <c r="F22" s="2" t="inlineStr">
        <is>
          <t>Tess</t>
        </is>
      </c>
      <c r="G22" s="2" t="inlineStr">
        <is>
          <t>Day 21 (2026-11-20)</t>
        </is>
      </c>
      <c r="H22" s="2" t="inlineStr"/>
    </row>
    <row r="23">
      <c r="A23" s="2" t="inlineStr">
        <is>
          <t>22</t>
        </is>
      </c>
      <c r="B23" s="2" t="inlineStr">
        <is>
          <t>2026-11-30</t>
        </is>
      </c>
      <c r="C23" s="2" t="inlineStr">
        <is>
          <t>Mon</t>
        </is>
      </c>
      <c r="D23" s="2" t="inlineStr">
        <is>
          <t>WS-019</t>
        </is>
      </c>
      <c r="E23" s="2" t="inlineStr">
        <is>
          <t>Stuck in an Elevator When the Outbreak Starts</t>
        </is>
      </c>
      <c r="F23" s="2" t="inlineStr">
        <is>
          <t>Kai + Mia</t>
        </is>
      </c>
      <c r="G23" s="2" t="inlineStr">
        <is>
          <t>Day 19 (2026-11-18)</t>
        </is>
      </c>
      <c r="H23" s="2" t="inlineStr"/>
    </row>
    <row r="24">
      <c r="A24" s="2" t="inlineStr">
        <is>
          <t>23</t>
        </is>
      </c>
      <c r="B24" s="2" t="inlineStr">
        <is>
          <t>2026-12-01</t>
        </is>
      </c>
      <c r="C24" s="2" t="inlineStr">
        <is>
          <t>Tue</t>
        </is>
      </c>
      <c r="D24" s="2" t="inlineStr">
        <is>
          <t>WS-020</t>
        </is>
      </c>
      <c r="E24" s="2" t="inlineStr">
        <is>
          <t>What Would a Massive Solar Storm Do to the Power Grid?</t>
        </is>
      </c>
      <c r="F24" s="2" t="inlineStr">
        <is>
          <t>Owen</t>
        </is>
      </c>
      <c r="G24" s="2" t="inlineStr">
        <is>
          <t>Day 20 (2026-11-19)</t>
        </is>
      </c>
      <c r="H24" s="2" t="inlineStr"/>
    </row>
    <row r="25">
      <c r="A25" s="2" t="inlineStr">
        <is>
          <t>24</t>
        </is>
      </c>
      <c r="B25" s="2" t="inlineStr">
        <is>
          <t>2026-12-02</t>
        </is>
      </c>
      <c r="C25" s="2" t="inlineStr">
        <is>
          <t>Wed</t>
        </is>
      </c>
      <c r="D25" s="2" t="inlineStr">
        <is>
          <t>WS-022</t>
        </is>
      </c>
      <c r="E25" s="2" t="inlineStr">
        <is>
          <t>The Subway Stopped in the Tunnel. Then the Lights Went Out.</t>
        </is>
      </c>
      <c r="F25" s="2" t="inlineStr">
        <is>
          <t>Kai</t>
        </is>
      </c>
      <c r="G25" s="2" t="inlineStr">
        <is>
          <t>Day 22 (2026-11-21)</t>
        </is>
      </c>
      <c r="H25" s="2" t="inlineStr"/>
    </row>
    <row r="26">
      <c r="A26" s="2" t="inlineStr">
        <is>
          <t>25</t>
        </is>
      </c>
      <c r="B26" s="2" t="inlineStr">
        <is>
          <t>2026-12-03</t>
        </is>
      </c>
      <c r="C26" s="2" t="inlineStr">
        <is>
          <t>Thu</t>
        </is>
      </c>
      <c r="D26" s="2" t="inlineStr">
        <is>
          <t>WS-023</t>
        </is>
      </c>
      <c r="E26" s="2" t="inlineStr">
        <is>
          <t>Wildfire Evacuation: Why Waiting One More Hour Is Dangerous</t>
        </is>
      </c>
      <c r="F26" s="2" t="inlineStr">
        <is>
          <t>Owen</t>
        </is>
      </c>
      <c r="G26" s="2" t="inlineStr">
        <is>
          <t>Day 23 (2026-11-22)</t>
        </is>
      </c>
      <c r="H26" s="2" t="inlineStr"/>
    </row>
    <row r="27">
      <c r="A27" s="2" t="inlineStr">
        <is>
          <t>26</t>
        </is>
      </c>
      <c r="B27" s="2" t="inlineStr">
        <is>
          <t>2026-12-04</t>
        </is>
      </c>
      <c r="C27" s="2" t="inlineStr">
        <is>
          <t>Fri</t>
        </is>
      </c>
      <c r="D27" s="2" t="inlineStr">
        <is>
          <t>WS-024</t>
        </is>
      </c>
      <c r="E27" s="2" t="inlineStr">
        <is>
          <t>Five People in a Safe Room. One Was Bitten.</t>
        </is>
      </c>
      <c r="F27" s="2" t="inlineStr">
        <is>
          <t>Mia (ensemble)</t>
        </is>
      </c>
      <c r="G27" s="2" t="inlineStr">
        <is>
          <t>Day 24 (2026-11-23)</t>
        </is>
      </c>
      <c r="H27" s="2" t="inlineStr"/>
    </row>
    <row r="28">
      <c r="A28" s="2" t="inlineStr">
        <is>
          <t>27</t>
        </is>
      </c>
      <c r="B28" s="2" t="inlineStr">
        <is>
          <t>2026-12-05</t>
        </is>
      </c>
      <c r="C28" s="2" t="inlineStr">
        <is>
          <t>Sat</t>
        </is>
      </c>
      <c r="D28" s="2" t="inlineStr">
        <is>
          <t>WS-025</t>
        </is>
      </c>
      <c r="E28" s="2" t="inlineStr">
        <is>
          <t>Avalanche: Why Your Friends Are Your Only Rescue</t>
        </is>
      </c>
      <c r="F28" s="2" t="inlineStr">
        <is>
          <t>Tess</t>
        </is>
      </c>
      <c r="G28" s="2" t="inlineStr">
        <is>
          <t>Day 25 (2026-11-24)</t>
        </is>
      </c>
      <c r="H28" s="2" t="inlineStr"/>
    </row>
    <row r="29">
      <c r="A29" s="2" t="inlineStr">
        <is>
          <t>28</t>
        </is>
      </c>
      <c r="B29" s="2" t="inlineStr">
        <is>
          <t>2026-12-06</t>
        </is>
      </c>
      <c r="C29" s="2" t="inlineStr">
        <is>
          <t>Sun</t>
        </is>
      </c>
      <c r="D29" s="2" t="inlineStr">
        <is>
          <t>WS-029</t>
        </is>
      </c>
      <c r="E29" s="2" t="inlineStr">
        <is>
          <t>Stranded in a Blizzard: Walk for Help or Stay in the Car?</t>
        </is>
      </c>
      <c r="F29" s="2" t="inlineStr">
        <is>
          <t>Kai + Mia</t>
        </is>
      </c>
      <c r="G29" s="2" t="inlineStr">
        <is>
          <t>Day 29 (2026-11-28)</t>
        </is>
      </c>
      <c r="H29" s="2" t="inlineStr"/>
    </row>
    <row r="30">
      <c r="A30" s="2" t="inlineStr">
        <is>
          <t>29</t>
        </is>
      </c>
      <c r="B30" s="2" t="inlineStr">
        <is>
          <t>2026-12-07</t>
        </is>
      </c>
      <c r="C30" s="2" t="inlineStr">
        <is>
          <t>Mon</t>
        </is>
      </c>
      <c r="D30" s="2" t="inlineStr">
        <is>
          <t>R04</t>
        </is>
      </c>
      <c r="E30" s="2" t="inlineStr">
        <is>
          <t>The Outbreak Starts While You're Getting Gas at 2 A.M.</t>
        </is>
      </c>
      <c r="F30" s="2" t="inlineStr">
        <is>
          <t>Tess (fallback lead)</t>
        </is>
      </c>
      <c r="G30" s="2" t="inlineStr">
        <is>
          <t>Reserve R04</t>
        </is>
      </c>
      <c r="H30" s="2" t="inlineStr"/>
    </row>
    <row r="31">
      <c r="A31" s="2" t="inlineStr">
        <is>
          <t>30</t>
        </is>
      </c>
      <c r="B31" s="2" t="inlineStr">
        <is>
          <t>2026-12-08</t>
        </is>
      </c>
      <c r="C31" s="2" t="inlineStr">
        <is>
          <t>Tue</t>
        </is>
      </c>
      <c r="D31" s="2" t="inlineStr">
        <is>
          <t>WS-030</t>
        </is>
      </c>
      <c r="E31" s="2" t="inlineStr">
        <is>
          <t>The Last Bus Out of the City Before the Pass Closes</t>
        </is>
      </c>
      <c r="F31" s="2" t="inlineStr">
        <is>
          <t>Kai, Mia, Tess, Owen</t>
        </is>
      </c>
      <c r="G31" s="2" t="inlineStr">
        <is>
          <t>Day 30 (2026-11-29)</t>
        </is>
      </c>
      <c r="H31" s="2" t="inlineStr">
        <is>
          <t>Finale</t>
        </is>
      </c>
    </row>
  </sheetData>
  <autoFilter ref="A1:H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45" customWidth="1" min="4" max="4"/>
    <col width="16" customWidth="1" min="5" max="5"/>
    <col width="28" customWidth="1" min="6" max="6"/>
    <col width="19" customWidth="1" min="7" max="7"/>
    <col width="45" customWidth="1" min="8" max="8"/>
    <col width="10" customWidth="1" min="9" max="9"/>
    <col width="24" customWidth="1" min="10" max="10"/>
    <col width="40" customWidth="1" min="11" max="11"/>
    <col width="35" customWidth="1" min="12" max="12"/>
    <col width="60" customWidth="1" min="13" max="13"/>
    <col width="55" customWidth="1" min="14" max="14"/>
    <col width="52" customWidth="1" min="15" max="15"/>
  </cols>
  <sheetData>
    <row r="1">
      <c r="A1" s="1" t="inlineStr">
        <is>
          <t>Day</t>
        </is>
      </c>
      <c r="B1" s="1" t="inlineStr">
        <is>
          <t>Date</t>
        </is>
      </c>
      <c r="C1" s="1" t="inlineStr">
        <is>
          <t>ID</t>
        </is>
      </c>
      <c r="D1" s="1" t="inlineStr">
        <is>
          <t>Title</t>
        </is>
      </c>
      <c r="E1" s="1" t="inlineStr">
        <is>
          <t>Pillar</t>
        </is>
      </c>
      <c r="F1" s="1" t="inlineStr">
        <is>
          <t>Recipe</t>
        </is>
      </c>
      <c r="G1" s="1" t="inlineStr">
        <is>
          <t>Lead</t>
        </is>
      </c>
      <c r="H1" s="1" t="inlineStr">
        <is>
          <t>Verdict</t>
        </is>
      </c>
      <c r="I1" s="1" t="inlineStr">
        <is>
          <t>Duration</t>
        </is>
      </c>
      <c r="J1" s="1" t="inlineStr">
        <is>
          <t>Complexity</t>
        </is>
      </c>
      <c r="K1" s="1" t="inlineStr">
        <is>
          <t>Main test</t>
        </is>
      </c>
      <c r="L1" s="1" t="inlineStr">
        <is>
          <t>Claims</t>
        </is>
      </c>
      <c r="M1" s="1" t="inlineStr">
        <is>
          <t>Reserve</t>
        </is>
      </c>
      <c r="N1" s="1" t="inlineStr">
        <is>
          <t>Brief file</t>
        </is>
      </c>
      <c r="O1" s="1" t="inlineStr">
        <is>
          <t>Full package</t>
        </is>
      </c>
    </row>
    <row r="2">
      <c r="A2" s="2" t="n">
        <v>1</v>
      </c>
      <c r="B2" s="2" t="inlineStr">
        <is>
          <t>2026-10-31</t>
        </is>
      </c>
      <c r="C2" s="2" t="inlineStr">
        <is>
          <t>WS-001</t>
        </is>
      </c>
      <c r="D2" s="2" t="inlineStr">
        <is>
          <t>Zombie Outbreak on Halloween: How Do You Tell Who's in Costume?</t>
        </is>
      </c>
      <c r="E2" s="2" t="inlineStr">
        <is>
          <t>P1 OUTBREAK</t>
        </is>
      </c>
      <c r="F2" s="2" t="inlineStr">
        <is>
          <t>R-A Location Outbreak</t>
        </is>
      </c>
      <c r="G2" s="2" t="inlineStr">
        <is>
          <t>Kai + Mia</t>
        </is>
      </c>
      <c r="H2" s="2" t="inlineStr">
        <is>
          <t>SURVIVED — He watched their breath, not their costumes.</t>
        </is>
      </c>
      <c r="I2" s="2" t="inlineStr">
        <is>
          <t>60–64 s</t>
        </is>
      </c>
      <c r="J2" s="2" t="inlineStr">
        <is>
          <t>H (pre-built before launch)</t>
        </is>
      </c>
      <c r="K2" s="2" t="inlineStr">
        <is>
          <t>Diegetic-contradiction hook + planted 'rewatch' details (non-breathing figures in early shots)</t>
        </is>
      </c>
      <c r="L2" s="2" t="inlineStr">
        <is>
          <t>C-101, C-102, C-103, C-104</t>
        </is>
      </c>
      <c r="M2" s="2" t="inlineStr">
        <is>
          <t>R04 Gas Station, 2 A.M. (if launch slips past Halloween, Day 1 becomes WS-003)</t>
        </is>
      </c>
      <c r="N2" s="2" t="inlineStr">
        <is>
          <t>18_Daily_Briefs/WS-001_2026-10-31_The-Breath-Test.md</t>
        </is>
      </c>
      <c r="O2" s="2" t="inlineStr">
        <is>
          <t>19_Production_Packages_Days_1-3/WS-001_The-Breath-Test</t>
        </is>
      </c>
    </row>
    <row r="3">
      <c r="A3" s="2" t="n">
        <v>2</v>
      </c>
      <c r="B3" s="2" t="inlineStr">
        <is>
          <t>2026-11-01</t>
        </is>
      </c>
      <c r="C3" s="2" t="inlineStr">
        <is>
          <t>WS-002</t>
        </is>
      </c>
      <c r="D3" s="2" t="inlineStr">
        <is>
          <t>Your Car Is Sinking. You Have About One Minute.</t>
        </is>
      </c>
      <c r="E3" s="2" t="inlineStr">
        <is>
          <t>P2 REAL RULE</t>
        </is>
      </c>
      <c r="F3" s="2" t="inlineStr">
        <is>
          <t>R-D Countdown</t>
        </is>
      </c>
      <c r="G3" s="2" t="inlineStr">
        <is>
          <t>Owen</t>
        </is>
      </c>
      <c r="H3" s="2" t="inlineStr">
        <is>
          <t>ESCAPED — He went for the window, not the door. REAL RULE: Car in water: get out through a side window in the first minute.</t>
        </is>
      </c>
      <c r="I3" s="2" t="inlineStr">
        <is>
          <t>56–60 s</t>
        </is>
      </c>
      <c r="J3" s="2" t="inlineStr">
        <is>
          <t>M</t>
        </is>
      </c>
      <c r="K3" s="2" t="inlineStr">
        <is>
          <t>Countdown HUD opening in the middle of the event; Real Rule card</t>
        </is>
      </c>
      <c r="L3" s="2" t="inlineStr">
        <is>
          <t>C-201, C-202, C-203, C-204, C-205 (BLOCKING order check), C-206, C-207</t>
        </is>
      </c>
      <c r="M3" s="2" t="inlineStr">
        <is>
          <t>R02 Six Inches of Water</t>
        </is>
      </c>
      <c r="N3" s="2" t="inlineStr">
        <is>
          <t>18_Daily_Briefs/WS-002_2026-11-01_About-One-Minute.md</t>
        </is>
      </c>
      <c r="O3" s="2" t="inlineStr">
        <is>
          <t>19_Production_Packages_Days_1-3/WS-002_About-One-Minute</t>
        </is>
      </c>
    </row>
    <row r="4">
      <c r="A4" s="2" t="n">
        <v>3</v>
      </c>
      <c r="B4" s="2" t="inlineStr">
        <is>
          <t>2026-11-02</t>
        </is>
      </c>
      <c r="C4" s="2" t="inlineStr">
        <is>
          <t>WS-003</t>
        </is>
      </c>
      <c r="D4" s="2" t="inlineStr">
        <is>
          <t>Everyone Says the Superstore Is the Best Place to Survive</t>
        </is>
      </c>
      <c r="E4" s="2" t="inlineStr">
        <is>
          <t>P1 OUTBREAK</t>
        </is>
      </c>
      <c r="F4" s="2" t="inlineStr">
        <is>
          <t>R-A Location Outbreak</t>
        </is>
      </c>
      <c r="G4" s="2" t="inlineStr">
        <is>
          <t>Tess</t>
        </is>
      </c>
      <c r="H4" s="2" t="inlineStr">
        <is>
          <t>ESCAPED — The best spot was the one nobody picked.</t>
        </is>
      </c>
      <c r="I4" s="2" t="inlineStr">
        <is>
          <t>58–62 s</t>
        </is>
      </c>
      <c r="J4" s="2" t="inlineStr">
        <is>
          <t>H (pre-built before launch)</t>
        </is>
      </c>
      <c r="K4" s="2" t="inlineStr">
        <is>
          <t>'Everyone says…' debate premise: comment volume and shares</t>
        </is>
      </c>
      <c r="L4" s="2" t="inlineStr">
        <is>
          <t>C-012, C-013 (Sphere scale), C-102/103 rules (WR-03, WR-07)</t>
        </is>
      </c>
      <c r="M4" s="2" t="inlineStr">
        <is>
          <t>R03 Day 12: A Knock on the Hatch</t>
        </is>
      </c>
      <c r="N4" s="2" t="inlineStr">
        <is>
          <t>18_Daily_Briefs/WS-003_2026-11-02_The-Superstore-Myth.md</t>
        </is>
      </c>
      <c r="O4" s="2" t="inlineStr">
        <is>
          <t>19_Production_Packages_Days_1-3/WS-003_The-Superstore-Myth</t>
        </is>
      </c>
    </row>
    <row r="5">
      <c r="A5" s="2" t="n">
        <v>4</v>
      </c>
      <c r="B5" s="2" t="inlineStr">
        <is>
          <t>2026-11-03</t>
        </is>
      </c>
      <c r="C5" s="2" t="inlineStr">
        <is>
          <t>WS-004</t>
        </is>
      </c>
      <c r="D5" s="2" t="inlineStr">
        <is>
          <t>Why You Shouldn't Run to the Doorway in an Earthquake</t>
        </is>
      </c>
      <c r="E5" s="2" t="inlineStr">
        <is>
          <t>P2 REAL RULE</t>
        </is>
      </c>
      <c r="F5" s="2" t="inlineStr">
        <is>
          <t>R-B Real Rule</t>
        </is>
      </c>
      <c r="G5" s="2" t="inlineStr">
        <is>
          <t>Kai</t>
        </is>
      </c>
      <c r="H5" s="2" t="inlineStr">
        <is>
          <t>SAFE — He dropped, covered and held on. REAL RULE: Earthquake: Drop, Cover, Hold On — not the doorway.</t>
        </is>
      </c>
      <c r="I5" s="2" t="inlineStr">
        <is>
          <t>48–52 s</t>
        </is>
      </c>
      <c r="J5" s="2" t="inlineStr">
        <is>
          <t>L</t>
        </is>
      </c>
      <c r="K5" s="2" t="inlineStr">
        <is>
          <t>Myth-busting hook in P2 (compare with Day 8)</t>
        </is>
      </c>
      <c r="L5" s="2" t="inlineStr">
        <is>
          <t>C-401, C-402, C-403, C-404</t>
        </is>
      </c>
      <c r="M5" s="2" t="inlineStr">
        <is>
          <t>R01 Lightning</t>
        </is>
      </c>
      <c r="N5" s="2" t="inlineStr">
        <is>
          <t>18_Daily_Briefs/WS-004_2026-11-03_The-Doorway-Myth.md</t>
        </is>
      </c>
      <c r="O5" s="2" t="inlineStr">
        <is>
          <t>—</t>
        </is>
      </c>
    </row>
    <row r="6">
      <c r="A6" s="2" t="n">
        <v>5</v>
      </c>
      <c r="B6" s="2" t="inlineStr">
        <is>
          <t>2026-11-04</t>
        </is>
      </c>
      <c r="C6" s="2" t="inlineStr">
        <is>
          <t>WS-005</t>
        </is>
      </c>
      <c r="D6" s="2" t="inlineStr">
        <is>
          <t>The Blackout Mistake That's More Dangerous Than the Storm</t>
        </is>
      </c>
      <c r="E6" s="2" t="inlineStr">
        <is>
          <t>P2 REAL RULE</t>
        </is>
      </c>
      <c r="F6" s="2" t="inlineStr">
        <is>
          <t>R-B Real Rule</t>
        </is>
      </c>
      <c r="G6" s="2" t="inlineStr">
        <is>
          <t>Owen</t>
        </is>
      </c>
      <c r="H6" s="2" t="inlineStr">
        <is>
          <t>SAFE — He got them into fresh air first. REAL RULE: Never run a generator in a garage. Keep it 20+ ft from the house.</t>
        </is>
      </c>
      <c r="I6" s="2" t="inlineStr">
        <is>
          <t>56–60 s</t>
        </is>
      </c>
      <c r="J6" s="2" t="inlineStr">
        <is>
          <t>M</t>
        </is>
      </c>
      <c r="K6" s="2" t="inlineStr">
        <is>
          <t>Gas (violet) Sphere comprehension; warning-style hook</t>
        </is>
      </c>
      <c r="L6" s="2" t="inlineStr">
        <is>
          <t>C-501, C-502, C-503, C-504, C-506 (BLOCKING: fresh air + call for help); C-505 (BLOCKING if alarms mentioned)</t>
        </is>
      </c>
      <c r="M6" s="2" t="inlineStr">
        <is>
          <t>R08 Cold Water Overboard</t>
        </is>
      </c>
      <c r="N6" s="2" t="inlineStr">
        <is>
          <t>18_Daily_Briefs/WS-005_2026-11-04_The-Generator-in-the-Garage.md</t>
        </is>
      </c>
      <c r="O6" s="2" t="inlineStr">
        <is>
          <t>—</t>
        </is>
      </c>
    </row>
    <row r="7">
      <c r="A7" s="2" t="n">
        <v>6</v>
      </c>
      <c r="B7" s="2" t="inlineStr">
        <is>
          <t>2026-11-05</t>
        </is>
      </c>
      <c r="C7" s="2" t="inlineStr">
        <is>
          <t>WS-006</t>
        </is>
      </c>
      <c r="D7" s="2" t="inlineStr">
        <is>
          <t>A Zombie Outbreak at 35,000 Feet: What Would You Do?</t>
        </is>
      </c>
      <c r="E7" s="2" t="inlineStr">
        <is>
          <t>P1 OUTBREAK</t>
        </is>
      </c>
      <c r="F7" s="2" t="inlineStr">
        <is>
          <t>R-A Location Outbreak</t>
        </is>
      </c>
      <c r="G7" s="2" t="inlineStr">
        <is>
          <t>Tess</t>
        </is>
      </c>
      <c r="H7" s="2" t="inlineStr">
        <is>
          <t>SURVIVED — She stopped running and built a wall.</t>
        </is>
      </c>
      <c r="I7" s="2" t="inlineStr">
        <is>
          <t>62–66 s</t>
        </is>
      </c>
      <c r="J7" s="2" t="inlineStr">
        <is>
          <t>H</t>
        </is>
      </c>
      <c r="K7" s="2" t="inlineStr">
        <is>
          <t>'What would you do?' question title; confined-space story</t>
        </is>
      </c>
      <c r="L7" s="2" t="inlineStr">
        <is>
          <t>C-102, C-103 (WR-04 push vs climb)</t>
        </is>
      </c>
      <c r="M7" s="2" t="inlineStr">
        <is>
          <t>R09 Cruise Ship, Day 3</t>
        </is>
      </c>
      <c r="N7" s="2" t="inlineStr">
        <is>
          <t>18_Daily_Briefs/WS-006_2026-11-05_Row-31.md</t>
        </is>
      </c>
      <c r="O7" s="2" t="inlineStr">
        <is>
          <t>—</t>
        </is>
      </c>
    </row>
    <row r="8">
      <c r="A8" s="2" t="n">
        <v>7</v>
      </c>
      <c r="B8" s="2" t="inlineStr">
        <is>
          <t>2026-11-06</t>
        </is>
      </c>
      <c r="C8" s="2" t="inlineStr">
        <is>
          <t>WS-007</t>
        </is>
      </c>
      <c r="D8" s="2" t="inlineStr">
        <is>
          <t>Roof or Basement? We Played Both Endings</t>
        </is>
      </c>
      <c r="E8" s="2" t="inlineStr">
        <is>
          <t>P1 OUTBREAK</t>
        </is>
      </c>
      <c r="F8" s="2" t="inlineStr">
        <is>
          <t>R-C Both Endings</t>
        </is>
      </c>
      <c r="G8" s="2" t="inlineStr">
        <is>
          <t>Kai + Mia</t>
        </is>
      </c>
      <c r="H8" s="2" t="inlineStr">
        <is>
          <t>ROOF: SURVIVED · BASEMENT: TRAPPED — Pick the place they can't climb to.</t>
        </is>
      </c>
      <c r="I8" s="2" t="inlineStr">
        <is>
          <t>68–72 s</t>
        </is>
      </c>
      <c r="J8" s="2" t="inlineStr">
        <is>
          <t>M</t>
        </is>
      </c>
      <c r="K8" s="2" t="inlineStr">
        <is>
          <t>Both Endings format baseline (retention through the 'rewind')</t>
        </is>
      </c>
      <c r="L8" s="2" t="inlineStr">
        <is>
          <t>C-103 (WR-04), WR-03</t>
        </is>
      </c>
      <c r="M8" s="2" t="inlineStr">
        <is>
          <t>R06 Your First Move (three endings)</t>
        </is>
      </c>
      <c r="N8" s="2" t="inlineStr">
        <is>
          <t>18_Daily_Briefs/WS-007_2026-11-06_Roof-or-Basement-Both-Endings.md</t>
        </is>
      </c>
      <c r="O8" s="2" t="inlineStr">
        <is>
          <t>—</t>
        </is>
      </c>
    </row>
    <row r="9">
      <c r="A9" s="2" t="n">
        <v>8</v>
      </c>
      <c r="B9" s="2" t="inlineStr">
        <is>
          <t>2026-11-07</t>
        </is>
      </c>
      <c r="C9" s="2" t="inlineStr">
        <is>
          <t>WS-008</t>
        </is>
      </c>
      <c r="D9" s="2" t="inlineStr">
        <is>
          <t>Why the Highway Overpass Is the Worst Place in a Tornado</t>
        </is>
      </c>
      <c r="E9" s="2" t="inlineStr">
        <is>
          <t>P2 REAL RULE</t>
        </is>
      </c>
      <c r="F9" s="2" t="inlineStr">
        <is>
          <t>R-B Real Rule</t>
        </is>
      </c>
      <c r="G9" s="2" t="inlineStr">
        <is>
          <t>Tess</t>
        </is>
      </c>
      <c r="H9" s="2" t="inlineStr">
        <is>
          <t>SURVIVED — Lower than the road, not under it. REAL RULE: Tornado: never shelter under a highway overpass.</t>
        </is>
      </c>
      <c r="I9" s="2" t="inlineStr">
        <is>
          <t>54–58 s</t>
        </is>
      </c>
      <c r="J9" s="2" t="inlineStr">
        <is>
          <t>M</t>
        </is>
      </c>
      <c r="K9" s="2" t="inlineStr">
        <is>
          <t>Second myth-busting P2 (compare with Day 4); red wind Sphere</t>
        </is>
      </c>
      <c r="L9" s="2" t="inlineStr">
        <is>
          <t>C-801, C-802 (confirm wording), C-803, C-804</t>
        </is>
      </c>
      <c r="M9" s="2" t="inlineStr">
        <is>
          <t>R02 Six Inches of Water</t>
        </is>
      </c>
      <c r="N9" s="2" t="inlineStr">
        <is>
          <t>18_Daily_Briefs/WS-008_2026-11-07_The-Overpass.md</t>
        </is>
      </c>
      <c r="O9" s="2" t="inlineStr">
        <is>
          <t>—</t>
        </is>
      </c>
    </row>
    <row r="10">
      <c r="A10" s="2" t="n">
        <v>9</v>
      </c>
      <c r="B10" s="2" t="inlineStr">
        <is>
          <t>2026-11-08</t>
        </is>
      </c>
      <c r="C10" s="2" t="inlineStr">
        <is>
          <t>WS-009</t>
        </is>
      </c>
      <c r="D10" s="2" t="inlineStr">
        <is>
          <t>Zombies Can't Swim. So Why Wasn't the Boat Safe?</t>
        </is>
      </c>
      <c r="E10" s="2" t="inlineStr">
        <is>
          <t>P1 OUTBREAK</t>
        </is>
      </c>
      <c r="F10" s="2" t="inlineStr">
        <is>
          <t>R-A Location Outbreak</t>
        </is>
      </c>
      <c r="G10" s="2" t="inlineStr">
        <is>
          <t>Owen</t>
        </is>
      </c>
      <c r="H10" s="2" t="inlineStr">
        <is>
          <t>ESCAPED — He checked the tide, not just the distance.</t>
        </is>
      </c>
      <c r="I10" s="2" t="inlineStr">
        <is>
          <t>58–62 s</t>
        </is>
      </c>
      <c r="J10" s="2" t="inlineStr">
        <is>
          <t>M</t>
        </is>
      </c>
      <c r="K10" s="2" t="inlineStr">
        <is>
          <t>World-rule payoff twist (WR-02 callback from Day 1)</t>
        </is>
      </c>
      <c r="L10" s="2" t="inlineStr">
        <is>
          <t>C-102 (WR-02), WR-04</t>
        </is>
      </c>
      <c r="M10" s="2" t="inlineStr">
        <is>
          <t>R03 Bunker Hatch</t>
        </is>
      </c>
      <c r="N10" s="2" t="inlineStr">
        <is>
          <t>18_Daily_Briefs/WS-009_2026-11-08_They-Cant-Swim.md</t>
        </is>
      </c>
      <c r="O10" s="2" t="inlineStr">
        <is>
          <t>—</t>
        </is>
      </c>
    </row>
    <row r="11">
      <c r="A11" s="2" t="n">
        <v>10</v>
      </c>
      <c r="B11" s="2" t="inlineStr">
        <is>
          <t>2026-11-09</t>
        </is>
      </c>
      <c r="C11" s="2" t="inlineStr">
        <is>
          <t>WS-010</t>
        </is>
      </c>
      <c r="D11" s="2" t="inlineStr">
        <is>
          <t>When the Power Goes Out for Days, This Is What Fails First</t>
        </is>
      </c>
      <c r="E11" s="2" t="inlineStr">
        <is>
          <t>P3 WORLD SHIFT</t>
        </is>
      </c>
      <c r="F11" s="2" t="inlineStr">
        <is>
          <t>R-E World Shift ladder</t>
        </is>
      </c>
      <c r="G11" s="2" t="inlineStr">
        <is>
          <t>Kai + Mia (Owen cameo)</t>
        </is>
      </c>
      <c r="H11" s="2" t="inlineStr">
        <is>
          <t>SAFE — They planned by the hour, not the day. REAL RULE: Fridge about 4 h; full freezer about 48 h. Keep the doors shut.</t>
        </is>
      </c>
      <c r="I11" s="2" t="inlineStr">
        <is>
          <t>62–66 s</t>
        </is>
      </c>
      <c r="J11" s="2" t="inlineStr">
        <is>
          <t>M</t>
        </is>
      </c>
      <c r="K11" s="2" t="inlineStr">
        <is>
          <t>Hour-by-hour ladder format (P3 baseline)</t>
        </is>
      </c>
      <c r="L11" s="2" t="inlineStr">
        <is>
          <t>C-1001, C-1002, C-011, C-022, C-501/502; C-1003 must be cut or verified</t>
        </is>
      </c>
      <c r="M11" s="2" t="inlineStr">
        <is>
          <t>R08 Cold Water Overboard</t>
        </is>
      </c>
      <c r="N11" s="2" t="inlineStr">
        <is>
          <t>18_Daily_Briefs/WS-010_2026-11-09_What-Fails-First.md</t>
        </is>
      </c>
      <c r="O11" s="2" t="inlineStr">
        <is>
          <t>—</t>
        </is>
      </c>
    </row>
    <row r="12">
      <c r="A12" s="2" t="n">
        <v>11</v>
      </c>
      <c r="B12" s="2" t="inlineStr">
        <is>
          <t>2026-11-10</t>
        </is>
      </c>
      <c r="C12" s="2" t="inlineStr">
        <is>
          <t>WS-011</t>
        </is>
      </c>
      <c r="D12" s="2" t="inlineStr">
        <is>
          <t>Zombie Outbreak in Your Apartment Building: Go Up or Down?</t>
        </is>
      </c>
      <c r="E12" s="2" t="inlineStr">
        <is>
          <t>P1 OUTBREAK</t>
        </is>
      </c>
      <c r="F12" s="2" t="inlineStr">
        <is>
          <t>R-A Location Outbreak</t>
        </is>
      </c>
      <c r="G12" s="2" t="inlineStr">
        <is>
          <t>Tess</t>
        </is>
      </c>
      <c r="H12" s="2" t="inlineStr">
        <is>
          <t>SURVIVED — She let the stairwell door do the work.</t>
        </is>
      </c>
      <c r="I12" s="2" t="inlineStr">
        <is>
          <t>58–62 s</t>
        </is>
      </c>
      <c r="J12" s="2" t="inlineStr">
        <is>
          <t>M</t>
        </is>
      </c>
      <c r="K12" s="2" t="inlineStr">
        <is>
          <t>Up-vs-down debate premise ([R-S38] evidence)</t>
        </is>
      </c>
      <c r="L12" s="2" t="inlineStr">
        <is>
          <t>C-103 (WR-04); C-1101 (in-story fact only)</t>
        </is>
      </c>
      <c r="M12" s="2" t="inlineStr">
        <is>
          <t>R04 Gas Station</t>
        </is>
      </c>
      <c r="N12" s="2" t="inlineStr">
        <is>
          <t>18_Daily_Briefs/WS-011_2026-11-10_Floor-14.md</t>
        </is>
      </c>
      <c r="O12" s="2" t="inlineStr">
        <is>
          <t>—</t>
        </is>
      </c>
    </row>
    <row r="13">
      <c r="A13" s="2" t="n">
        <v>12</v>
      </c>
      <c r="B13" s="2" t="inlineStr">
        <is>
          <t>2026-11-11</t>
        </is>
      </c>
      <c r="C13" s="2" t="inlineStr">
        <is>
          <t>WS-012</t>
        </is>
      </c>
      <c r="D13" s="2" t="inlineStr">
        <is>
          <t>House Fire at 3 A.M.: The One Thing That Buys You Time</t>
        </is>
      </c>
      <c r="E13" s="2" t="inlineStr">
        <is>
          <t>P2 REAL RULE</t>
        </is>
      </c>
      <c r="F13" s="2" t="inlineStr">
        <is>
          <t>R-B Real Rule</t>
        </is>
      </c>
      <c r="G13" s="2" t="inlineStr">
        <is>
          <t>Owen</t>
        </is>
      </c>
      <c r="H13" s="2" t="inlineStr">
        <is>
          <t>SAFE — His door was closed before the fire started. REAL RULE: Sleep with the door closed. Get out, stay out.</t>
        </is>
      </c>
      <c r="I13" s="2" t="inlineStr">
        <is>
          <t>54–58 s</t>
        </is>
      </c>
      <c r="J13" s="2" t="inlineStr">
        <is>
          <t>M</t>
        </is>
      </c>
      <c r="K13" s="2" t="inlineStr">
        <is>
          <t>Split-screen comparison opener</t>
        </is>
      </c>
      <c r="L13" s="2" t="inlineStr">
        <is>
          <t>C-1201, C-1202, C-1203, C-1204, C-1206 (BLOCKING: window as second way out); C-1205 only if verified</t>
        </is>
      </c>
      <c r="M13" s="2" t="inlineStr">
        <is>
          <t>R01 Lightning</t>
        </is>
      </c>
      <c r="N13" s="2" t="inlineStr">
        <is>
          <t>18_Daily_Briefs/WS-012_2026-11-11_Close-the-Door.md</t>
        </is>
      </c>
      <c r="O13" s="2" t="inlineStr">
        <is>
          <t>—</t>
        </is>
      </c>
    </row>
    <row r="14">
      <c r="A14" s="2" t="n">
        <v>13</v>
      </c>
      <c r="B14" s="2" t="inlineStr">
        <is>
          <t>2026-11-12</t>
        </is>
      </c>
      <c r="C14" s="2" t="inlineStr">
        <is>
          <t>WS-013</t>
        </is>
      </c>
      <c r="D14" s="2" t="inlineStr">
        <is>
          <t>Zombie Outbreak in a Movie Theater: Nobody Noticed the Screams</t>
        </is>
      </c>
      <c r="E14" s="2" t="inlineStr">
        <is>
          <t>P1 OUTBREAK</t>
        </is>
      </c>
      <c r="F14" s="2" t="inlineStr">
        <is>
          <t>R-A Location Outbreak</t>
        </is>
      </c>
      <c r="G14" s="2" t="inlineStr">
        <is>
          <t>Kai</t>
        </is>
      </c>
      <c r="H14" s="2" t="inlineStr">
        <is>
          <t>ESCAPED — He picked the door that opens one way.</t>
        </is>
      </c>
      <c r="I14" s="2" t="inlineStr">
        <is>
          <t>58–62 s</t>
        </is>
      </c>
      <c r="J14" s="2" t="inlineStr">
        <is>
          <t>M</t>
        </is>
      </c>
      <c r="K14" s="2" t="inlineStr">
        <is>
          <t>Comedic-irony hook</t>
        </is>
      </c>
      <c r="L14" s="2" t="inlineStr">
        <is>
          <t>WR-03, WR-04; C-1101 (in-story only)</t>
        </is>
      </c>
      <c r="M14" s="2" t="inlineStr">
        <is>
          <t>R07 Wedding Reception</t>
        </is>
      </c>
      <c r="N14" s="2" t="inlineStr">
        <is>
          <t>18_Daily_Briefs/WS-013_2026-11-12_The-Loudest-Room-in-Town.md</t>
        </is>
      </c>
      <c r="O14" s="2" t="inlineStr">
        <is>
          <t>—</t>
        </is>
      </c>
    </row>
    <row r="15">
      <c r="A15" s="2" t="n">
        <v>14</v>
      </c>
      <c r="B15" s="2" t="inlineStr">
        <is>
          <t>2026-11-13</t>
        </is>
      </c>
      <c r="C15" s="2" t="inlineStr">
        <is>
          <t>WS-014</t>
        </is>
      </c>
      <c r="D15" s="2" t="inlineStr">
        <is>
          <t>7 Days of Warning Before the Outbreak: Stay or Leave?</t>
        </is>
      </c>
      <c r="E15" s="2" t="inlineStr">
        <is>
          <t>P3 WORLD SHIFT</t>
        </is>
      </c>
      <c r="F15" s="2" t="inlineStr">
        <is>
          <t>R-C Both Endings</t>
        </is>
      </c>
      <c r="G15" s="2" t="inlineStr">
        <is>
          <t>Tess</t>
        </is>
      </c>
      <c r="H15" s="2" t="inlineStr">
        <is>
          <t>STAY: TRAPPED · LEAVE EARLY: SURVIVED — Leaving early beats leaving fast.</t>
        </is>
      </c>
      <c r="I15" s="2" t="inlineStr">
        <is>
          <t>68–72 s</t>
        </is>
      </c>
      <c r="J15" s="2" t="inlineStr">
        <is>
          <t>M</t>
        </is>
      </c>
      <c r="K15" s="2" t="inlineStr">
        <is>
          <t>Both Endings on a P3 premise (second data point)</t>
        </is>
      </c>
      <c r="L15" s="2" t="inlineStr">
        <is>
          <t>C-1401 (qualified), C-1002, WR-08</t>
        </is>
      </c>
      <c r="M15" s="2" t="inlineStr">
        <is>
          <t>R06 Your First Move</t>
        </is>
      </c>
      <c r="N15" s="2" t="inlineStr">
        <is>
          <t>18_Daily_Briefs/WS-014_2026-11-13_Seven-Days-of-Warning-Both-Endings.md</t>
        </is>
      </c>
      <c r="O15" s="2" t="inlineStr">
        <is>
          <t>—</t>
        </is>
      </c>
    </row>
    <row r="16">
      <c r="A16" s="2" t="n">
        <v>15</v>
      </c>
      <c r="B16" s="2" t="inlineStr">
        <is>
          <t>2026-11-14</t>
        </is>
      </c>
      <c r="C16" s="2" t="inlineStr">
        <is>
          <t>WS-015</t>
        </is>
      </c>
      <c r="D16" s="2" t="inlineStr">
        <is>
          <t>The Last Place on Earth Without the Outbreak (Part 1)</t>
        </is>
      </c>
      <c r="E16" s="2" t="inlineStr">
        <is>
          <t>P1 OUTBREAK (SAGA)</t>
        </is>
      </c>
      <c r="F16" s="2" t="inlineStr">
        <is>
          <t>R-F Two-part Saga</t>
        </is>
      </c>
      <c r="G16" s="2" t="inlineStr">
        <is>
          <t>Owen</t>
        </is>
      </c>
      <c r="H16" s="2" t="inlineStr">
        <is>
          <t>SURVIVED — Owen read the bandage, not the smile. (Forward line: 'The heat runs out in 30 hours.')</t>
        </is>
      </c>
      <c r="I16" s="2" t="inlineStr">
        <is>
          <t>66–70 s</t>
        </is>
      </c>
      <c r="J16" s="2" t="inlineStr">
        <is>
          <t>H</t>
        </is>
      </c>
      <c r="K16" s="2" t="inlineStr">
        <is>
          <t>SAGA Part 1: does a resolved Part 1 with a forward line lift Part 2 views and follows?</t>
        </is>
      </c>
      <c r="L16" s="2" t="inlineStr">
        <is>
          <t>WR-01 (fever, bite), WR-04; C-1501 (no real numbers unless verified)</t>
        </is>
      </c>
      <c r="M16" s="2" t="inlineStr">
        <is>
          <t>R05 The Crossing (original puzzle)</t>
        </is>
      </c>
      <c r="N16" s="2" t="inlineStr">
        <is>
          <t>18_Daily_Briefs/WS-015_2026-11-14_Station-Zero-Part-1.md</t>
        </is>
      </c>
      <c r="O16" s="2" t="inlineStr">
        <is>
          <t>—</t>
        </is>
      </c>
    </row>
    <row r="17">
      <c r="A17" s="2" t="n">
        <v>16</v>
      </c>
      <c r="B17" s="2" t="inlineStr">
        <is>
          <t>2026-11-15</t>
        </is>
      </c>
      <c r="C17" s="2" t="inlineStr">
        <is>
          <t>WS-016</t>
        </is>
      </c>
      <c r="D17" s="2" t="inlineStr">
        <is>
          <t>Station Zero Part 2: The Only Weapon Was the Cold</t>
        </is>
      </c>
      <c r="E17" s="2" t="inlineStr">
        <is>
          <t>P1 OUTBREAK (SAGA)</t>
        </is>
      </c>
      <c r="F17" s="2" t="inlineStr">
        <is>
          <t>R-F Two-part Saga</t>
        </is>
      </c>
      <c r="G17" s="2" t="inlineStr">
        <is>
          <t>Owen</t>
        </is>
      </c>
      <c r="H17" s="2" t="inlineStr">
        <is>
          <t>SURVIVED — He turned the cold into a wall.</t>
        </is>
      </c>
      <c r="I17" s="2" t="inlineStr">
        <is>
          <t>66–70 s</t>
        </is>
      </c>
      <c r="J17" s="2" t="inlineStr">
        <is>
          <t>M (reuses Part 1)</t>
        </is>
      </c>
      <c r="K17" s="2" t="inlineStr">
        <is>
          <t>SAGA Part 2: retention of cold viewers; Part2/Part1 view ratio</t>
        </is>
      </c>
      <c r="L17" s="2" t="inlineStr">
        <is>
          <t>WR-06; WR-02 (frost/no breath); C-1501</t>
        </is>
      </c>
      <c r="M17" s="2" t="inlineStr">
        <is>
          <t>R03 Bunker Hatch</t>
        </is>
      </c>
      <c r="N17" s="2" t="inlineStr">
        <is>
          <t>18_Daily_Briefs/WS-016_2026-11-15_Station-Zero-Part-2.md</t>
        </is>
      </c>
      <c r="O17" s="2" t="inlineStr">
        <is>
          <t>—</t>
        </is>
      </c>
    </row>
    <row r="18">
      <c r="A18" s="2" t="n">
        <v>17</v>
      </c>
      <c r="B18" s="2" t="inlineStr">
        <is>
          <t>2026-11-16</t>
        </is>
      </c>
      <c r="C18" s="2" t="inlineStr">
        <is>
          <t>WS-017</t>
        </is>
      </c>
      <c r="D18" s="2" t="inlineStr">
        <is>
          <t>Caught in a Rip Current? Don't Swim Back to Shore.</t>
        </is>
      </c>
      <c r="E18" s="2" t="inlineStr">
        <is>
          <t>P2 REAL RULE</t>
        </is>
      </c>
      <c r="F18" s="2" t="inlineStr">
        <is>
          <t>R-B Real Rule</t>
        </is>
      </c>
      <c r="G18" s="2" t="inlineStr">
        <is>
          <t>Kai</t>
        </is>
      </c>
      <c r="H18" s="2" t="inlineStr">
        <is>
          <t>SAFE — He swam sideways, not against it. REAL RULE: Rip current: don't fight it. Float, then swim parallel to shore.</t>
        </is>
      </c>
      <c r="I18" s="2" t="inlineStr">
        <is>
          <t>50–54 s</t>
        </is>
      </c>
      <c r="J18" s="2" t="inlineStr">
        <is>
          <t>M</t>
        </is>
      </c>
      <c r="K18" s="2" t="inlineStr">
        <is>
          <t>Water Sphere + swimmer POV; Real Rule after the saga weekend</t>
        </is>
      </c>
      <c r="L18" s="2" t="inlineStr">
        <is>
          <t>C-1701, C-1702, C-1703; C-1704 not animated unless verified</t>
        </is>
      </c>
      <c r="M18" s="2" t="inlineStr">
        <is>
          <t>R08 Cold Water Overboard</t>
        </is>
      </c>
      <c r="N18" s="2" t="inlineStr">
        <is>
          <t>18_Daily_Briefs/WS-017_2026-11-16_Dont-Swim-Back.md</t>
        </is>
      </c>
      <c r="O18" s="2" t="inlineStr">
        <is>
          <t>—</t>
        </is>
      </c>
    </row>
    <row r="19">
      <c r="A19" s="2" t="n">
        <v>18</v>
      </c>
      <c r="B19" s="2" t="inlineStr">
        <is>
          <t>2026-11-17</t>
        </is>
      </c>
      <c r="C19" s="2" t="inlineStr">
        <is>
          <t>WS-018</t>
        </is>
      </c>
      <c r="D19" s="2" t="inlineStr">
        <is>
          <t>If You See a Flash in the Sky, Don't Go to the Window</t>
        </is>
      </c>
      <c r="E19" s="2" t="inlineStr">
        <is>
          <t>P2 REAL RULE</t>
        </is>
      </c>
      <c r="F19" s="2" t="inlineStr">
        <is>
          <t>R-B Real Rule</t>
        </is>
      </c>
      <c r="G19" s="2" t="inlineStr">
        <is>
          <t>Tess</t>
        </is>
      </c>
      <c r="H19" s="2" t="inlineStr">
        <is>
          <t>SAFE — Away from the glass, not toward it. REAL RULE (pending verification): A bright flash in the sky? Stay away from windows.</t>
        </is>
      </c>
      <c r="I19" s="2" t="inlineStr">
        <is>
          <t>52–56 s</t>
        </is>
      </c>
      <c r="J19" s="2" t="inlineStr">
        <is>
          <t>M</t>
        </is>
      </c>
      <c r="K19" s="2" t="inlineStr">
        <is>
          <t>Historical-reference hook ('In 2013…') in Leonid week</t>
        </is>
      </c>
      <c r="L19" s="2" t="inlineStr">
        <is>
          <t>C-1801 (BLOCKING), C-1802 (BLOCKING)</t>
        </is>
      </c>
      <c r="M19" s="2" t="inlineStr">
        <is>
          <t>R01 Lightning (verified)</t>
        </is>
      </c>
      <c r="N19" s="2" t="inlineStr">
        <is>
          <t>18_Daily_Briefs/WS-018_2026-11-17_The-Flash-Before-the-Bang.md</t>
        </is>
      </c>
      <c r="O19" s="2" t="inlineStr">
        <is>
          <t>—</t>
        </is>
      </c>
    </row>
    <row r="20">
      <c r="A20" s="2" t="n">
        <v>19</v>
      </c>
      <c r="B20" s="2" t="inlineStr">
        <is>
          <t>2026-11-18</t>
        </is>
      </c>
      <c r="C20" s="2" t="inlineStr">
        <is>
          <t>WS-019</t>
        </is>
      </c>
      <c r="D20" s="2" t="inlineStr">
        <is>
          <t>Stuck in an Elevator When the Outbreak Starts</t>
        </is>
      </c>
      <c r="E20" s="2" t="inlineStr">
        <is>
          <t>P1 OUTBREAK</t>
        </is>
      </c>
      <c r="F20" s="2" t="inlineStr">
        <is>
          <t>R-A Location Outbreak</t>
        </is>
      </c>
      <c r="G20" s="2" t="inlineStr">
        <is>
          <t>Kai + Mia</t>
        </is>
      </c>
      <c r="H20" s="2" t="inlineStr">
        <is>
          <t>SURVIVED — They stayed in the box nobody could open. REAL RULE: Stuck in an elevator? Stay in, use the alarm, don't force the doors.</t>
        </is>
      </c>
      <c r="I20" s="2" t="inlineStr">
        <is>
          <t>52–56 s</t>
        </is>
      </c>
      <c r="J20" s="2" t="inlineStr">
        <is>
          <t>L</t>
        </is>
      </c>
      <c r="K20" s="2" t="inlineStr">
        <is>
          <t>Low-cost single-set episode: performance vs production cost</t>
        </is>
      </c>
      <c r="L20" s="2" t="inlineStr">
        <is>
          <t>C-1901, C-1902, WR-03, WR-04</t>
        </is>
      </c>
      <c r="M20" s="2" t="inlineStr">
        <is>
          <t>R04 Gas Station</t>
        </is>
      </c>
      <c r="N20" s="2" t="inlineStr">
        <is>
          <t>18_Daily_Briefs/WS-019_2026-11-18_Between-Floors.md</t>
        </is>
      </c>
      <c r="O20" s="2" t="inlineStr">
        <is>
          <t>—</t>
        </is>
      </c>
    </row>
    <row r="21">
      <c r="A21" s="2" t="n">
        <v>20</v>
      </c>
      <c r="B21" s="2" t="inlineStr">
        <is>
          <t>2026-11-19</t>
        </is>
      </c>
      <c r="C21" s="2" t="inlineStr">
        <is>
          <t>WS-020</t>
        </is>
      </c>
      <c r="D21" s="2" t="inlineStr">
        <is>
          <t>What Would a Massive Solar Storm Do to the Power Grid?</t>
        </is>
      </c>
      <c r="E21" s="2" t="inlineStr">
        <is>
          <t>P3 WORLD SHIFT</t>
        </is>
      </c>
      <c r="F21" s="2" t="inlineStr">
        <is>
          <t>R-E World Shift ladder</t>
        </is>
      </c>
      <c r="G21" s="2" t="inlineStr">
        <is>
          <t>Owen</t>
        </is>
      </c>
      <c r="H21" s="2" t="inlineStr">
        <is>
          <t>SAFE — The lights were a warning, not a show.</t>
        </is>
      </c>
      <c r="I21" s="2" t="inlineStr">
        <is>
          <t>60–64 s</t>
        </is>
      </c>
      <c r="J21" s="2" t="inlineStr">
        <is>
          <t>M</t>
        </is>
      </c>
      <c r="K21" s="2" t="inlineStr">
        <is>
          <t>Spectacle visual (aurora) hook in P3</t>
        </is>
      </c>
      <c r="L21" s="2" t="inlineStr">
        <is>
          <t>C-2001 (BLOCKING), C-1001, C-1002</t>
        </is>
      </c>
      <c r="M21" s="2" t="inlineStr">
        <is>
          <t>R01 Lightning</t>
        </is>
      </c>
      <c r="N21" s="2" t="inlineStr">
        <is>
          <t>18_Daily_Briefs/WS-020_2026-11-19_The-Night-the-Sky-Turned-Green.md</t>
        </is>
      </c>
      <c r="O21" s="2" t="inlineStr">
        <is>
          <t>—</t>
        </is>
      </c>
    </row>
    <row r="22">
      <c r="A22" s="2" t="n">
        <v>21</v>
      </c>
      <c r="B22" s="2" t="inlineStr">
        <is>
          <t>2026-11-20</t>
        </is>
      </c>
      <c r="C22" s="2" t="inlineStr">
        <is>
          <t>WS-021</t>
        </is>
      </c>
      <c r="D22" s="2" t="inlineStr">
        <is>
          <t>Fell Through the Ice? Turn Back the Way You Came.</t>
        </is>
      </c>
      <c r="E22" s="2" t="inlineStr">
        <is>
          <t>P2 REAL RULE</t>
        </is>
      </c>
      <c r="F22" s="2" t="inlineStr">
        <is>
          <t>R-B Real Rule</t>
        </is>
      </c>
      <c r="G22" s="2" t="inlineStr">
        <is>
          <t>Tess</t>
        </is>
      </c>
      <c r="H22" s="2" t="inlineStr">
        <is>
          <t>ESCAPED — Back toward the ice that held her. REAL RULE: Fell through ice? Turn back the way you came. Kick, slide, roll.</t>
        </is>
      </c>
      <c r="I22" s="2" t="inlineStr">
        <is>
          <t>52–56 s</t>
        </is>
      </c>
      <c r="J22" s="2" t="inlineStr">
        <is>
          <t>M</t>
        </is>
      </c>
      <c r="K22" s="2" t="inlineStr">
        <is>
          <t>Second-person instruction title</t>
        </is>
      </c>
      <c r="L22" s="2" t="inlineStr">
        <is>
          <t>C-2101, C-2102, C-2103; C-2104 not shown unless verified</t>
        </is>
      </c>
      <c r="M22" s="2" t="inlineStr">
        <is>
          <t>R08 Cold Water Overboard</t>
        </is>
      </c>
      <c r="N22" s="2" t="inlineStr">
        <is>
          <t>18_Daily_Briefs/WS-021_2026-11-20_Turn-Back-the-Way-You-Came.md</t>
        </is>
      </c>
      <c r="O22" s="2" t="inlineStr">
        <is>
          <t>—</t>
        </is>
      </c>
    </row>
    <row r="23">
      <c r="A23" s="2" t="n">
        <v>22</v>
      </c>
      <c r="B23" s="2" t="inlineStr">
        <is>
          <t>2026-11-21</t>
        </is>
      </c>
      <c r="C23" s="2" t="inlineStr">
        <is>
          <t>WS-022</t>
        </is>
      </c>
      <c r="D23" s="2" t="inlineStr">
        <is>
          <t>The Subway Stopped in the Tunnel. Then the Lights Went Out.</t>
        </is>
      </c>
      <c r="E23" s="2" t="inlineStr">
        <is>
          <t>P1 OUTBREAK</t>
        </is>
      </c>
      <c r="F23" s="2" t="inlineStr">
        <is>
          <t>R-A Location Outbreak</t>
        </is>
      </c>
      <c r="G23" s="2" t="inlineStr">
        <is>
          <t>Kai</t>
        </is>
      </c>
      <c r="H23" s="2" t="inlineStr">
        <is>
          <t>SURVIVED — He held the car they couldn't open.</t>
        </is>
      </c>
      <c r="I23" s="2" t="inlineStr">
        <is>
          <t>60–64 s</t>
        </is>
      </c>
      <c r="J23" s="2" t="inlineStr">
        <is>
          <t>H</t>
        </is>
      </c>
      <c r="K23" s="2" t="inlineStr">
        <is>
          <t>Darkness and sound-design emphasis (audio-led suspense)</t>
        </is>
      </c>
      <c r="L23" s="2" t="inlineStr">
        <is>
          <t>WR-03, WR-04; avoid third-rail claims unless verified</t>
        </is>
      </c>
      <c r="M23" s="2" t="inlineStr">
        <is>
          <t>R04 Gas Station</t>
        </is>
      </c>
      <c r="N23" s="2" t="inlineStr">
        <is>
          <t>18_Daily_Briefs/WS-022_2026-11-21_Tunnel-9.md</t>
        </is>
      </c>
      <c r="O23" s="2" t="inlineStr">
        <is>
          <t>—</t>
        </is>
      </c>
    </row>
    <row r="24">
      <c r="A24" s="2" t="n">
        <v>23</v>
      </c>
      <c r="B24" s="2" t="inlineStr">
        <is>
          <t>2026-11-22</t>
        </is>
      </c>
      <c r="C24" s="2" t="inlineStr">
        <is>
          <t>WS-023</t>
        </is>
      </c>
      <c r="D24" s="2" t="inlineStr">
        <is>
          <t>Wildfire Evacuation: Why Waiting One More Hour Is Dangerous</t>
        </is>
      </c>
      <c r="E24" s="2" t="inlineStr">
        <is>
          <t>P2 REAL RULE</t>
        </is>
      </c>
      <c r="F24" s="2" t="inlineStr">
        <is>
          <t>R-B Real Rule</t>
        </is>
      </c>
      <c r="G24" s="2" t="inlineStr">
        <is>
          <t>Owen</t>
        </is>
      </c>
      <c r="H24" s="2" t="inlineStr">
        <is>
          <t>ESCAPED — He left when told, not when ready. (REAL RULE pending verification)</t>
        </is>
      </c>
      <c r="I24" s="2" t="inlineStr">
        <is>
          <t>56–60 s</t>
        </is>
      </c>
      <c r="J24" s="2" t="inlineStr">
        <is>
          <t>M</t>
        </is>
      </c>
      <c r="K24" s="2" t="inlineStr">
        <is>
          <t>Urgency hook in P2 (timer)</t>
        </is>
      </c>
      <c r="L24" s="2" t="inlineStr">
        <is>
          <t>C-2301 (BLOCKING)</t>
        </is>
      </c>
      <c r="M24" s="2" t="inlineStr">
        <is>
          <t>R02 Six Inches of Water</t>
        </is>
      </c>
      <c r="N24" s="2" t="inlineStr">
        <is>
          <t>18_Daily_Briefs/WS-023_2026-11-22_One-Road-Out.md</t>
        </is>
      </c>
      <c r="O24" s="2" t="inlineStr">
        <is>
          <t>—</t>
        </is>
      </c>
    </row>
    <row r="25">
      <c r="A25" s="2" t="n">
        <v>24</v>
      </c>
      <c r="B25" s="2" t="inlineStr">
        <is>
          <t>2026-11-23</t>
        </is>
      </c>
      <c r="C25" s="2" t="inlineStr">
        <is>
          <t>WS-024</t>
        </is>
      </c>
      <c r="D25" s="2" t="inlineStr">
        <is>
          <t>Five People in a Safe Room. One Was Bitten.</t>
        </is>
      </c>
      <c r="E25" s="2" t="inlineStr">
        <is>
          <t>P1 OUTBREAK</t>
        </is>
      </c>
      <c r="F25" s="2" t="inlineStr">
        <is>
          <t>R-G Social deduction</t>
        </is>
      </c>
      <c r="G25" s="2" t="inlineStr">
        <is>
          <t>Mia (ensemble)</t>
        </is>
      </c>
      <c r="H25" s="2" t="inlineStr">
        <is>
          <t>SURVIVED (4) — Mia watched who was cold, not scared.</t>
        </is>
      </c>
      <c r="I25" s="2" t="inlineStr">
        <is>
          <t>62–66 s</t>
        </is>
      </c>
      <c r="J25" s="2" t="inlineStr">
        <is>
          <t>L</t>
        </is>
      </c>
      <c r="K25" s="2" t="inlineStr">
        <is>
          <t>Social-deduction format with child POV (comments guessing the culprit)</t>
        </is>
      </c>
      <c r="L25" s="2" t="inlineStr">
        <is>
          <t>WR-01 (fever, scratches don't transmit), WR-09</t>
        </is>
      </c>
      <c r="M25" s="2" t="inlineStr">
        <is>
          <t>R07 Wedding Reception</t>
        </is>
      </c>
      <c r="N25" s="2" t="inlineStr">
        <is>
          <t>18_Daily_Briefs/WS-024_2026-11-23_Five-in-the-Safe-Room.md</t>
        </is>
      </c>
      <c r="O25" s="2" t="inlineStr">
        <is>
          <t>—</t>
        </is>
      </c>
    </row>
    <row r="26">
      <c r="A26" s="2" t="n">
        <v>25</v>
      </c>
      <c r="B26" s="2" t="inlineStr">
        <is>
          <t>2026-11-24</t>
        </is>
      </c>
      <c r="C26" s="2" t="inlineStr">
        <is>
          <t>WS-025</t>
        </is>
      </c>
      <c r="D26" s="2" t="inlineStr">
        <is>
          <t>Avalanche: Why Your Friends Are Your Only Rescue</t>
        </is>
      </c>
      <c r="E26" s="2" t="inlineStr">
        <is>
          <t>P2 REAL RULE</t>
        </is>
      </c>
      <c r="F26" s="2" t="inlineStr">
        <is>
          <t>R-D Countdown</t>
        </is>
      </c>
      <c r="G26" s="2" t="inlineStr">
        <is>
          <t>Tess</t>
        </is>
      </c>
      <c r="H26" s="2" t="inlineStr">
        <is>
          <t>SURVIVED — She searched instead of going for help. (REAL RULE pending verification)</t>
        </is>
      </c>
      <c r="I26" s="2" t="inlineStr">
        <is>
          <t>56–60 s</t>
        </is>
      </c>
      <c r="J26" s="2" t="inlineStr">
        <is>
          <t>M</t>
        </is>
      </c>
      <c r="K26" s="2" t="inlineStr">
        <is>
          <t>Count-up timer (vs Day 2 countdown)</t>
        </is>
      </c>
      <c r="L26" s="2" t="inlineStr">
        <is>
          <t>C-2501 (BLOCKING)</t>
        </is>
      </c>
      <c r="M26" s="2" t="inlineStr">
        <is>
          <t>R08 Cold Water Overboard</t>
        </is>
      </c>
      <c r="N26" s="2" t="inlineStr">
        <is>
          <t>18_Daily_Briefs/WS-025_2026-11-24_Fifteen-Minutes.md</t>
        </is>
      </c>
      <c r="O26" s="2" t="inlineStr">
        <is>
          <t>—</t>
        </is>
      </c>
    </row>
    <row r="27">
      <c r="A27" s="2" t="n">
        <v>26</v>
      </c>
      <c r="B27" s="2" t="inlineStr">
        <is>
          <t>2026-11-25</t>
        </is>
      </c>
      <c r="C27" s="2" t="inlineStr">
        <is>
          <t>WS-026</t>
        </is>
      </c>
      <c r="D27" s="2" t="inlineStr">
        <is>
          <t>Zombie Outbreak at the Airport the Day Before Thanksgiving</t>
        </is>
      </c>
      <c r="E27" s="2" t="inlineStr">
        <is>
          <t>P1 OUTBREAK</t>
        </is>
      </c>
      <c r="F27" s="2" t="inlineStr">
        <is>
          <t>R-A Location Outbreak</t>
        </is>
      </c>
      <c r="G27" s="2" t="inlineStr">
        <is>
          <t>Kai + Mia</t>
        </is>
      </c>
      <c r="H27" s="2" t="inlineStr">
        <is>
          <t>ESCAPED — Away from the crowd, not with it.</t>
        </is>
      </c>
      <c r="I27" s="2" t="inlineStr">
        <is>
          <t>62–66 s</t>
        </is>
      </c>
      <c r="J27" s="2" t="inlineStr">
        <is>
          <t>M/H (reuses plane kit)</t>
        </is>
      </c>
      <c r="K27" s="2" t="inlineStr">
        <is>
          <t>Seasonal timing (day before US Thanksgiving)</t>
        </is>
      </c>
      <c r="L27" s="2" t="inlineStr">
        <is>
          <t>WR-03, WR-07, WR-04</t>
        </is>
      </c>
      <c r="M27" s="2" t="inlineStr">
        <is>
          <t>R09 Cruise Ship</t>
        </is>
      </c>
      <c r="N27" s="2" t="inlineStr">
        <is>
          <t>18_Daily_Briefs/WS-026_2026-11-25_Gate-22.md</t>
        </is>
      </c>
      <c r="O27" s="2" t="inlineStr">
        <is>
          <t>—</t>
        </is>
      </c>
    </row>
    <row r="28">
      <c r="A28" s="2" t="n">
        <v>27</v>
      </c>
      <c r="B28" s="2" t="inlineStr">
        <is>
          <t>2026-11-26</t>
        </is>
      </c>
      <c r="C28" s="2" t="inlineStr">
        <is>
          <t>WS-027</t>
        </is>
      </c>
      <c r="D28" s="2" t="inlineStr">
        <is>
          <t>Why You Never Put Water on a Grease Fire</t>
        </is>
      </c>
      <c r="E28" s="2" t="inlineStr">
        <is>
          <t>P2 REAL RULE</t>
        </is>
      </c>
      <c r="F28" s="2" t="inlineStr">
        <is>
          <t>R-B Real Rule</t>
        </is>
      </c>
      <c r="G28" s="2" t="inlineStr">
        <is>
          <t>Owen</t>
        </is>
      </c>
      <c r="H28" s="2" t="inlineStr">
        <is>
          <t>SAFE — He cut the heat and smothered it. (REAL RULE pending verification)</t>
        </is>
      </c>
      <c r="I28" s="2" t="inlineStr">
        <is>
          <t>48–52 s</t>
        </is>
      </c>
      <c r="J28" s="2" t="inlineStr">
        <is>
          <t>L</t>
        </is>
      </c>
      <c r="K28" s="2" t="inlineStr">
        <is>
          <t>Seasonal Real Rule on the holiday itself</t>
        </is>
      </c>
      <c r="L28" s="2" t="inlineStr">
        <is>
          <t>C-2701 (BLOCKING)</t>
        </is>
      </c>
      <c r="M28" s="2" t="inlineStr">
        <is>
          <t>R01 Lightning</t>
        </is>
      </c>
      <c r="N28" s="2" t="inlineStr">
        <is>
          <t>18_Daily_Briefs/WS-027_2026-11-26_Never-Water.md</t>
        </is>
      </c>
      <c r="O28" s="2" t="inlineStr">
        <is>
          <t>—</t>
        </is>
      </c>
    </row>
    <row r="29">
      <c r="A29" s="2" t="n">
        <v>28</v>
      </c>
      <c r="B29" s="2" t="inlineStr">
        <is>
          <t>2026-11-27</t>
        </is>
      </c>
      <c r="C29" s="2" t="inlineStr">
        <is>
          <t>WS-028</t>
        </is>
      </c>
      <c r="D29" s="2" t="inlineStr">
        <is>
          <t>Caught in a Crowd Surge: How to Stay on Your Feet</t>
        </is>
      </c>
      <c r="E29" s="2" t="inlineStr">
        <is>
          <t>P2 REAL RULE</t>
        </is>
      </c>
      <c r="F29" s="2" t="inlineStr">
        <is>
          <t>R-B Real Rule</t>
        </is>
      </c>
      <c r="G29" s="2" t="inlineStr">
        <is>
          <t>Tess</t>
        </is>
      </c>
      <c r="H29" s="2" t="inlineStr">
        <is>
          <t>SAFE — With the crowd, then out of it. (REAL RULE pending verification)</t>
        </is>
      </c>
      <c r="I29" s="2" t="inlineStr">
        <is>
          <t>56–60 s</t>
        </is>
      </c>
      <c r="J29" s="2" t="inlineStr">
        <is>
          <t>M (reuses store kit)</t>
        </is>
      </c>
      <c r="K29" s="2" t="inlineStr">
        <is>
          <t>Sensitive-topic handling (comment sentiment, corrections)</t>
        </is>
      </c>
      <c r="L29" s="2" t="inlineStr">
        <is>
          <t>C-2801 (BLOCKING)</t>
        </is>
      </c>
      <c r="M29" s="2" t="inlineStr">
        <is>
          <t>R02 Six Inches of Water</t>
        </is>
      </c>
      <c r="N29" s="2" t="inlineStr">
        <is>
          <t>18_Daily_Briefs/WS-028_2026-11-27_The-Surge.md</t>
        </is>
      </c>
      <c r="O29" s="2" t="inlineStr">
        <is>
          <t>—</t>
        </is>
      </c>
    </row>
    <row r="30">
      <c r="A30" s="2" t="n">
        <v>29</v>
      </c>
      <c r="B30" s="2" t="inlineStr">
        <is>
          <t>2026-11-28</t>
        </is>
      </c>
      <c r="C30" s="2" t="inlineStr">
        <is>
          <t>WS-029</t>
        </is>
      </c>
      <c r="D30" s="2" t="inlineStr">
        <is>
          <t>Stranded in a Blizzard: Walk for Help or Stay in the Car?</t>
        </is>
      </c>
      <c r="E30" s="2" t="inlineStr">
        <is>
          <t>P2 REAL RULE</t>
        </is>
      </c>
      <c r="F30" s="2" t="inlineStr">
        <is>
          <t>R-C Both Endings</t>
        </is>
      </c>
      <c r="G30" s="2" t="inlineStr">
        <is>
          <t>Kai + Mia</t>
        </is>
      </c>
      <c r="H30" s="2" t="inlineStr">
        <is>
          <t>WALK: LOST · WAIT: SURVIVED — Stay with the car. (REAL RULE pending verification)</t>
        </is>
      </c>
      <c r="I30" s="2" t="inlineStr">
        <is>
          <t>66–70 s</t>
        </is>
      </c>
      <c r="J30" s="2" t="inlineStr">
        <is>
          <t>M</t>
        </is>
      </c>
      <c r="K30" s="2" t="inlineStr">
        <is>
          <t>Both Endings on P2 (third Both Endings data point)</t>
        </is>
      </c>
      <c r="L30" s="2" t="inlineStr">
        <is>
          <t>C-2901 (BLOCKING)</t>
        </is>
      </c>
      <c r="M30" s="2" t="inlineStr">
        <is>
          <t>R02 Six Inches of Water</t>
        </is>
      </c>
      <c r="N30" s="2" t="inlineStr">
        <is>
          <t>18_Daily_Briefs/WS-029_2026-11-28_Walk-or-Wait-Both-Endings.md</t>
        </is>
      </c>
      <c r="O30" s="2" t="inlineStr">
        <is>
          <t>—</t>
        </is>
      </c>
    </row>
    <row r="31">
      <c r="A31" s="2" t="n">
        <v>30</v>
      </c>
      <c r="B31" s="2" t="inlineStr">
        <is>
          <t>2026-11-29</t>
        </is>
      </c>
      <c r="C31" s="2" t="inlineStr">
        <is>
          <t>WS-030</t>
        </is>
      </c>
      <c r="D31" s="2" t="inlineStr">
        <is>
          <t>The Last Bus Out of the City Before the Pass Closes</t>
        </is>
      </c>
      <c r="E31" s="2" t="inlineStr">
        <is>
          <t>P1 OUTBREAK</t>
        </is>
      </c>
      <c r="F31" s="2" t="inlineStr">
        <is>
          <t>R-A Location Outbreak (ensemble)</t>
        </is>
      </c>
      <c r="G31" s="2" t="inlineStr">
        <is>
          <t>Kai, Mia, Tess, Owen</t>
        </is>
      </c>
      <c r="H31" s="2" t="inlineStr">
        <is>
          <t>SURVIVED — Four strangers, one plan. (Forward line: 'December: The Long Winter.')</t>
        </is>
      </c>
      <c r="I31" s="2" t="inlineStr">
        <is>
          <t>68–72 s</t>
        </is>
      </c>
      <c r="J31" s="2" t="inlineStr">
        <is>
          <t>H</t>
        </is>
      </c>
      <c r="K31" s="2" t="inlineStr">
        <is>
          <t>Ensemble + forward hook: subscribers gained and returning viewers in the first days of December</t>
        </is>
      </c>
      <c r="L31" s="2" t="inlineStr">
        <is>
          <t>WR-02, WR-08</t>
        </is>
      </c>
      <c r="M31" s="2" t="inlineStr">
        <is>
          <t>R07 Wedding Reception</t>
        </is>
      </c>
      <c r="N31" s="2" t="inlineStr">
        <is>
          <t>18_Daily_Briefs/WS-030_2026-11-29_The-Last-Bus-Out.md</t>
        </is>
      </c>
      <c r="O31" s="2" t="inlineStr">
        <is>
          <t>—</t>
        </is>
      </c>
    </row>
  </sheetData>
  <autoFilter ref="A1:O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5" customWidth="1" min="2" max="2"/>
    <col width="10" customWidth="1" min="3" max="3"/>
    <col width="53" customWidth="1" min="4" max="4"/>
    <col width="26" customWidth="1" min="5" max="5"/>
    <col width="60" customWidth="1" min="6" max="6"/>
    <col width="70" customWidth="1" min="7" max="7"/>
  </cols>
  <sheetData>
    <row r="1">
      <c r="A1" s="1" t="inlineStr">
        <is>
          <t>ID</t>
        </is>
      </c>
      <c r="B1" s="1" t="inlineStr">
        <is>
          <t>Topic</t>
        </is>
      </c>
      <c r="C1" s="1" t="inlineStr">
        <is>
          <t>Pillar</t>
        </is>
      </c>
      <c r="D1" s="1" t="inlineStr">
        <is>
          <t>Title</t>
        </is>
      </c>
      <c r="E1" s="1" t="inlineStr">
        <is>
          <t>Claims</t>
        </is>
      </c>
      <c r="F1" s="1" t="inlineStr">
        <is>
          <t>Replaces</t>
        </is>
      </c>
      <c r="G1" s="1" t="inlineStr">
        <is>
          <t>Spine</t>
        </is>
      </c>
    </row>
    <row r="2">
      <c r="A2" s="2" t="inlineStr">
        <is>
          <t>R01</t>
        </is>
      </c>
      <c r="B2" s="2" t="inlineStr">
        <is>
          <t>Lightning on a hike: the picnic shelter won't save you; crouching doesn't either</t>
        </is>
      </c>
      <c r="C2" s="2" t="inlineStr">
        <is>
          <t>P2</t>
        </is>
      </c>
      <c r="D2" s="2" t="inlineStr">
        <is>
          <t>Why the Picnic Shelter Won't Save You From Lightning</t>
        </is>
      </c>
      <c r="E2" s="2" t="inlineStr">
        <is>
          <t>C-R101–R104 (verified)</t>
        </is>
      </c>
      <c r="F2" s="2" t="inlineStr">
        <is>
          <t>Any P2 slot that fails verification (WS-018, WS-023, WS-027)</t>
        </is>
      </c>
      <c r="G2" s="2" t="inlineStr">
        <is>
          <t>Tess hikes; thunder; hikers huddle under a picnic shelter. FORK: SHELTER vs RUN TO THE CAR. She reaches her hard-topped car (metal shell, not tyres) and waits 30 minutes after the last thunder.</t>
        </is>
      </c>
    </row>
    <row r="3">
      <c r="A3" s="2" t="inlineStr">
        <is>
          <t>R02</t>
        </is>
      </c>
      <c r="B3" s="2" t="inlineStr">
        <is>
          <t>Flash flood: six inches of water and the dip in the road</t>
        </is>
      </c>
      <c r="C3" s="2" t="inlineStr">
        <is>
          <t>P2</t>
        </is>
      </c>
      <c r="D3" s="2" t="inlineStr">
        <is>
          <t>Six Inches of Water: The Flash Flood Mistake</t>
        </is>
      </c>
      <c r="E3" s="2" t="inlineStr">
        <is>
          <t>C-R201–R204 (verified)</t>
        </is>
      </c>
      <c r="F3" s="2" t="inlineStr">
        <is>
          <t>WS-023 / WS-028 / WS-029 if blocked</t>
        </is>
      </c>
      <c r="G3" s="2" t="inlineStr">
        <is>
          <t>Owen at a flooded low-water crossing at night. FORK: DRIVE THROUGH vs TURN AROUND. The preview shows the car floating at bumper height; he reverses.</t>
        </is>
      </c>
    </row>
    <row r="4">
      <c r="A4" s="2" t="inlineStr">
        <is>
          <t>R03</t>
        </is>
      </c>
      <c r="B4" s="2" t="inlineStr">
        <is>
          <t>Day 12 in the bunker: a knock on the hatch</t>
        </is>
      </c>
      <c r="C4" s="2" t="inlineStr">
        <is>
          <t>P1</t>
        </is>
      </c>
      <c r="D4" s="2" t="inlineStr">
        <is>
          <t>Day 12 in the Bunker. Then Someone Knocked.</t>
        </is>
      </c>
      <c r="E4" s="2" t="inlineStr">
        <is>
          <t>WR-01–WR-04</t>
        </is>
      </c>
      <c r="F4" s="2" t="inlineStr">
        <is>
          <t>Any P1 slot</t>
        </is>
      </c>
      <c r="G4" s="2" t="inlineStr">
        <is>
          <t>Tess in a prepper bunker; rhythmic knocking. The Turned don't knock in rhythm (they push). FORK: OPEN vs PERISCOPE CHECK. It's Owen.</t>
        </is>
      </c>
    </row>
    <row r="5">
      <c r="A5" s="2" t="inlineStr">
        <is>
          <t>R04</t>
        </is>
      </c>
      <c r="B5" s="2" t="inlineStr">
        <is>
          <t>Gas station at 2 a.m.: fuel, snacks and one locked bathroom</t>
        </is>
      </c>
      <c r="C5" s="2" t="inlineStr">
        <is>
          <t>P1</t>
        </is>
      </c>
      <c r="D5" s="2" t="inlineStr">
        <is>
          <t>The Outbreak Starts While You're Getting Gas at 2 A.M.</t>
        </is>
      </c>
      <c r="E5" s="2" t="inlineStr">
        <is>
          <t>WR-03/WR-04</t>
        </is>
      </c>
      <c r="F5" s="2" t="inlineStr">
        <is>
          <t>Any P1 slot; the cheapest P1 (one set); Day-1 fallback if launch slips</t>
        </is>
      </c>
      <c r="G5" s="2" t="inlineStr">
        <is>
          <t>Kai refuels; the clerk is locked in; something is in the bathroom. FORK: FILL THE TANK vs LEAVE ON A QUARTER TANK. The fuel nozzle's click is the loudest sound for miles.</t>
        </is>
      </c>
    </row>
    <row r="6">
      <c r="A6" s="2" t="inlineStr">
        <is>
          <t>R05</t>
        </is>
      </c>
      <c r="B6" s="2" t="inlineStr">
        <is>
          <t>The Crossing: an original timed puzzle (three survivors, one boat, one turned dog cage)</t>
        </is>
      </c>
      <c r="C6" s="2" t="inlineStr">
        <is>
          <t>P1</t>
        </is>
      </c>
      <c r="D6" s="2" t="inlineStr">
        <is>
          <t>Can You Get Everyone Across Before Sunrise?</t>
        </is>
      </c>
      <c r="E6" s="2" t="inlineStr">
        <is>
          <t>Fiction</t>
        </is>
      </c>
      <c r="F6" s="2" t="inlineStr">
        <is>
          <t>WS-015/016 if saga assets slip</t>
        </is>
      </c>
      <c r="G6" s="2" t="inlineStr">
        <is>
          <t>An original river-crossing logic puzzle with a viewer pause beat (not TED-Ed's bridge riddle).</t>
        </is>
      </c>
    </row>
    <row r="7">
      <c r="A7" s="2" t="inlineStr">
        <is>
          <t>R06</t>
        </is>
      </c>
      <c r="B7" s="2" t="inlineStr">
        <is>
          <t>Your first move: fortify, flee or find a group? Three endings</t>
        </is>
      </c>
      <c r="C7" s="2" t="inlineStr">
        <is>
          <t>P3</t>
        </is>
      </c>
      <c r="D7" s="2" t="inlineStr">
        <is>
          <t>Zombie Outbreak: Fortify, Flee or Find a Group?</t>
        </is>
      </c>
      <c r="E7" s="2" t="inlineStr">
        <is>
          <t>WR set</t>
        </is>
      </c>
      <c r="F7" s="2" t="inlineStr">
        <is>
          <t>Any Both Endings slot</t>
        </is>
      </c>
      <c r="G7" s="2" t="inlineStr">
        <is>
          <t>Three-panel Fork; each ending runs about 18 s; the Verdict compares them.</t>
        </is>
      </c>
    </row>
    <row r="8">
      <c r="A8" s="2" t="inlineStr">
        <is>
          <t>R07</t>
        </is>
      </c>
      <c r="B8" s="2" t="inlineStr">
        <is>
          <t>Wedding reception: the best man was bitten at the bachelor party</t>
        </is>
      </c>
      <c r="C8" s="2" t="inlineStr">
        <is>
          <t>P1</t>
        </is>
      </c>
      <c r="D8" s="2" t="inlineStr">
        <is>
          <t>The Best Man Was Bitten at the Bachelor Party</t>
        </is>
      </c>
      <c r="E8" s="2" t="inlineStr">
        <is>
          <t>WR-01</t>
        </is>
      </c>
      <c r="F8" s="2" t="inlineStr">
        <is>
          <t>Any P1 slot (dark comedy)</t>
        </is>
      </c>
      <c r="G8" s="2" t="inlineStr">
        <is>
          <t>Tess is a guest; the toast; the best man's fever. FORK: STOP THE TOAST vs CLEAR THE DANCE FLOOR.</t>
        </is>
      </c>
    </row>
    <row r="9">
      <c r="A9" s="2" t="inlineStr">
        <is>
          <t>R08</t>
        </is>
      </c>
      <c r="B9" s="2" t="inlineStr">
        <is>
          <t>Cold water overboard: the gasp comes first</t>
        </is>
      </c>
      <c r="C9" s="2" t="inlineStr">
        <is>
          <t>P2</t>
        </is>
      </c>
      <c r="D9" s="2" t="inlineStr">
        <is>
          <t>Fell Into Cold Water? The First Minute Isn't About the Cold</t>
        </is>
      </c>
      <c r="E9" s="2" t="inlineStr">
        <is>
          <t>C-2101/2102 (verified)</t>
        </is>
      </c>
      <c r="F9" s="2" t="inlineStr">
        <is>
          <t>Any P2 slot</t>
        </is>
      </c>
      <c r="G9" s="2" t="inlineStr">
        <is>
          <t>Owen falls off a dock in November. He controls the gasp and keeps his face up; 1-10-1 timer.</t>
        </is>
      </c>
    </row>
    <row r="10">
      <c r="A10" s="2" t="inlineStr">
        <is>
          <t>R09</t>
        </is>
      </c>
      <c r="B10" s="2" t="inlineStr">
        <is>
          <t>Cruise ship: one sick passenger, four days from port</t>
        </is>
      </c>
      <c r="C10" s="2" t="inlineStr">
        <is>
          <t>P1</t>
        </is>
      </c>
      <c r="D10" s="2" t="inlineStr">
        <is>
          <t>Zombie Outbreak on a Cruise Ship, Four Days From Port</t>
        </is>
      </c>
      <c r="E10" s="2" t="inlineStr">
        <is>
          <t>WR set</t>
        </is>
      </c>
      <c r="F10" s="2" t="inlineStr">
        <is>
          <t>WS-006 / WS-026</t>
        </is>
      </c>
      <c r="G10" s="2" t="inlineStr">
        <is>
          <t>Kai and Mia on deck 9. FORK: CABIN vs LIFEBOAT STATION.</t>
        </is>
      </c>
    </row>
    <row r="11">
      <c r="A11" s="2" t="inlineStr">
        <is>
          <t>R10</t>
        </is>
      </c>
      <c r="B11" s="2" t="inlineStr">
        <is>
          <t>Hurricane: the calm in the eye</t>
        </is>
      </c>
      <c r="C11" s="2" t="inlineStr">
        <is>
          <t>P2</t>
        </is>
      </c>
      <c r="D11" s="2" t="inlineStr">
        <is>
          <t>The Hurricane Went Quiet. That Was the Trap.</t>
        </is>
      </c>
      <c r="E11" s="2" t="inlineStr">
        <is>
          <t>Needs verification (NOAA/NWS)</t>
        </is>
      </c>
      <c r="F11" s="2" t="inlineStr">
        <is>
          <t>Next season, or after verification</t>
        </is>
      </c>
      <c r="G11" s="2" t="inlineStr">
        <is>
          <t>Owen; the eye passes; neighbours go outside. FORK: GO OUT vs STAY IN.</t>
        </is>
      </c>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0" customWidth="1" min="3" max="3"/>
    <col width="50" customWidth="1" min="4" max="4"/>
    <col width="17"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7" customWidth="1" min="15" max="15"/>
    <col width="10" customWidth="1" min="16" max="16"/>
    <col width="50" customWidth="1" min="17" max="17"/>
  </cols>
  <sheetData>
    <row r="1">
      <c r="A1" s="1" t="inlineStr">
        <is>
          <t>ID</t>
        </is>
      </c>
      <c r="B1" s="1" t="inlineStr">
        <is>
          <t>Premise</t>
        </is>
      </c>
      <c r="C1" s="1" t="inlineStr">
        <is>
          <t>Pillar</t>
        </is>
      </c>
      <c r="D1" s="1" t="inlineStr">
        <is>
          <t>Evidence of interest / factual support</t>
        </is>
      </c>
      <c r="E1" s="1" t="inlineStr">
        <is>
          <t>Season/trend</t>
        </is>
      </c>
      <c r="F1" s="1" t="inlineStr">
        <is>
          <t>AR</t>
        </is>
      </c>
      <c r="G1" s="1" t="inlineStr">
        <is>
          <t>HC</t>
        </is>
      </c>
      <c r="H1" s="1" t="inlineStr">
        <is>
          <t>SS</t>
        </is>
      </c>
      <c r="I1" s="1" t="inlineStr">
        <is>
          <t>VP</t>
        </is>
      </c>
      <c r="J1" s="1" t="inlineStr">
        <is>
          <t>OR</t>
        </is>
      </c>
      <c r="K1" s="1" t="inlineStr">
        <is>
          <t>PO</t>
        </is>
      </c>
      <c r="L1" s="1" t="inlineStr">
        <is>
          <t>EC</t>
        </is>
      </c>
      <c r="M1" s="1" t="inlineStr">
        <is>
          <t>CF</t>
        </is>
      </c>
      <c r="N1" s="1" t="inlineStr">
        <is>
          <t>PF</t>
        </is>
      </c>
      <c r="O1" s="1" t="inlineStr">
        <is>
          <t>Weighted score /100</t>
        </is>
      </c>
      <c r="P1" s="1" t="inlineStr">
        <is>
          <t>Decision</t>
        </is>
      </c>
      <c r="Q1" s="1" t="inlineStr">
        <is>
          <t>Reason / note</t>
        </is>
      </c>
    </row>
    <row r="2">
      <c r="A2" s="2" t="inlineStr">
        <is>
          <t>T001</t>
        </is>
      </c>
      <c r="B2" s="2" t="inlineStr">
        <is>
          <t>Outbreak on a remote farm: livestock noise, generator, barn</t>
        </is>
      </c>
      <c r="C2" s="2" t="inlineStr">
        <is>
          <t>P1</t>
        </is>
      </c>
      <c r="D2" s="2" t="inlineStr">
        <is>
          <t>[R] TikTok topic pages 'farmer in zombie apocalypse pt3' (appendix A/C); [R-S36] Cornell rural logic</t>
        </is>
      </c>
      <c r="E2" s="2" t="inlineStr">
        <is>
          <t>E</t>
        </is>
      </c>
      <c r="F2" s="2" t="inlineStr">
        <is>
          <t>4</t>
        </is>
      </c>
      <c r="G2" s="2" t="inlineStr">
        <is>
          <t>4</t>
        </is>
      </c>
      <c r="H2" s="2" t="inlineStr">
        <is>
          <t>4</t>
        </is>
      </c>
      <c r="I2" s="2" t="inlineStr">
        <is>
          <t>4</t>
        </is>
      </c>
      <c r="J2" s="2" t="inlineStr">
        <is>
          <t>1</t>
        </is>
      </c>
      <c r="K2" s="2" t="inlineStr">
        <is>
          <t>4</t>
        </is>
      </c>
      <c r="L2" s="2" t="inlineStr">
        <is>
          <t>4</t>
        </is>
      </c>
      <c r="M2" s="2" t="inlineStr">
        <is>
          <t>5</t>
        </is>
      </c>
      <c r="N2" s="2" t="inlineStr">
        <is>
          <t>4</t>
        </is>
      </c>
      <c r="O2" s="2" t="inlineStr">
        <is>
          <t>76.1</t>
        </is>
      </c>
      <c r="P2" s="2" t="inlineStr">
        <is>
          <t>REJ</t>
        </is>
      </c>
      <c r="Q2" s="2" t="inlineStr">
        <is>
          <t>Reference territory ('The Last Farm'); any farm story would read as a copy</t>
        </is>
      </c>
    </row>
    <row r="3">
      <c r="A3" s="2" t="inlineStr">
        <is>
          <t>T002</t>
        </is>
      </c>
      <c r="B3" s="2" t="inlineStr">
        <is>
          <t>City vs countryside: Hour 0 downtown, reach low-density land before bridges close</t>
        </is>
      </c>
      <c r="C3" s="2" t="inlineStr">
        <is>
          <t>P1</t>
        </is>
      </c>
      <c r="D3" s="2" t="inlineStr">
        <is>
          <t>[R-S36][R-S37] Cornell model coverage</t>
        </is>
      </c>
      <c r="E3" s="2" t="inlineStr">
        <is>
          <t>E</t>
        </is>
      </c>
      <c r="F3" s="2" t="inlineStr">
        <is>
          <t>4</t>
        </is>
      </c>
      <c r="G3" s="2" t="inlineStr">
        <is>
          <t>4</t>
        </is>
      </c>
      <c r="H3" s="2" t="inlineStr">
        <is>
          <t>4</t>
        </is>
      </c>
      <c r="I3" s="2" t="inlineStr">
        <is>
          <t>4</t>
        </is>
      </c>
      <c r="J3" s="2" t="inlineStr">
        <is>
          <t>3</t>
        </is>
      </c>
      <c r="K3" s="2" t="inlineStr">
        <is>
          <t>4</t>
        </is>
      </c>
      <c r="L3" s="2" t="inlineStr">
        <is>
          <t>4</t>
        </is>
      </c>
      <c r="M3" s="2" t="inlineStr">
        <is>
          <t>5</t>
        </is>
      </c>
      <c r="N3" s="2" t="inlineStr">
        <is>
          <t>3</t>
        </is>
      </c>
      <c r="O3" s="2" t="inlineStr">
        <is>
          <t>78.0</t>
        </is>
      </c>
      <c r="P3" s="2" t="inlineStr">
        <is>
          <t>DEF</t>
        </is>
      </c>
      <c r="Q3" s="2" t="inlineStr">
        <is>
          <t>Strong evidence; heavy map/crowd work. Month 2 candidate (overlaps WS-014)</t>
        </is>
      </c>
    </row>
    <row r="4">
      <c r="A4" s="2" t="inlineStr">
        <is>
          <t>T003</t>
        </is>
      </c>
      <c r="B4" s="2" t="inlineStr">
        <is>
          <t>High-rise: floor 2 or floor 30? Stairwell-door logic</t>
        </is>
      </c>
      <c r="C4" s="2" t="inlineStr">
        <is>
          <t>P1</t>
        </is>
      </c>
      <c r="D4" s="2" t="inlineStr">
        <is>
          <t>[R-S38] viewer hiding debate</t>
        </is>
      </c>
      <c r="E4" s="2" t="inlineStr">
        <is>
          <t>E</t>
        </is>
      </c>
      <c r="F4" s="2" t="inlineStr">
        <is>
          <t>5</t>
        </is>
      </c>
      <c r="G4" s="2" t="inlineStr">
        <is>
          <t>5</t>
        </is>
      </c>
      <c r="H4" s="2" t="inlineStr">
        <is>
          <t>4</t>
        </is>
      </c>
      <c r="I4" s="2" t="inlineStr">
        <is>
          <t>4</t>
        </is>
      </c>
      <c r="J4" s="2" t="inlineStr">
        <is>
          <t>4</t>
        </is>
      </c>
      <c r="K4" s="2" t="inlineStr">
        <is>
          <t>4</t>
        </is>
      </c>
      <c r="L4" s="2" t="inlineStr">
        <is>
          <t>4</t>
        </is>
      </c>
      <c r="M4" s="2" t="inlineStr">
        <is>
          <t>5</t>
        </is>
      </c>
      <c r="N4" s="2" t="inlineStr">
        <is>
          <t>4</t>
        </is>
      </c>
      <c r="O4" s="2" t="inlineStr">
        <is>
          <t>87.8</t>
        </is>
      </c>
      <c r="P4" s="2" t="inlineStr">
        <is>
          <t>WS-011</t>
        </is>
      </c>
      <c r="Q4" s="2" t="inlineStr">
        <is>
          <t>Selected</t>
        </is>
      </c>
    </row>
    <row r="5">
      <c r="A5" s="2" t="inlineStr">
        <is>
          <t>T004</t>
        </is>
      </c>
      <c r="B5" s="2" t="inlineStr">
        <is>
          <t>School lockdown turns into outbreak</t>
        </is>
      </c>
      <c r="C5" s="2" t="inlineStr">
        <is>
          <t>P1</t>
        </is>
      </c>
      <c r="D5" s="2" t="inlineStr">
        <is>
          <t>[R-S30] Snapchat precedent</t>
        </is>
      </c>
      <c r="E5" s="2" t="inlineStr">
        <is>
          <t>E</t>
        </is>
      </c>
      <c r="F5" s="2" t="inlineStr">
        <is>
          <t>4</t>
        </is>
      </c>
      <c r="G5" s="2" t="inlineStr">
        <is>
          <t>4</t>
        </is>
      </c>
      <c r="H5" s="2" t="inlineStr">
        <is>
          <t>4</t>
        </is>
      </c>
      <c r="I5" s="2" t="inlineStr">
        <is>
          <t>4</t>
        </is>
      </c>
      <c r="J5" s="2" t="inlineStr">
        <is>
          <t>2</t>
        </is>
      </c>
      <c r="K5" s="2" t="inlineStr">
        <is>
          <t>3</t>
        </is>
      </c>
      <c r="L5" s="2" t="inlineStr">
        <is>
          <t>3</t>
        </is>
      </c>
      <c r="M5" s="2" t="inlineStr">
        <is>
          <t>3</t>
        </is>
      </c>
      <c r="N5" s="2" t="inlineStr">
        <is>
          <t>3</t>
        </is>
      </c>
      <c r="O5" s="2" t="inlineStr">
        <is>
          <t>68.3</t>
        </is>
      </c>
      <c r="P5" s="2" t="inlineStr">
        <is>
          <t>REJ</t>
        </is>
      </c>
      <c r="Q5" s="2" t="inlineStr">
        <is>
          <t>Sensitivity: real school-violence associations; not brand-safe</t>
        </is>
      </c>
    </row>
    <row r="6">
      <c r="A6" s="2" t="inlineStr">
        <is>
          <t>T005</t>
        </is>
      </c>
      <c r="B6" s="2" t="inlineStr">
        <is>
          <t>Waking alone in a hospital on day 9</t>
        </is>
      </c>
      <c r="C6" s="2" t="inlineStr">
        <is>
          <t>P1</t>
        </is>
      </c>
      <c r="D6" s="2" t="inlineStr">
        <is>
          <t>[J]</t>
        </is>
      </c>
      <c r="E6" s="2" t="inlineStr">
        <is>
          <t>E</t>
        </is>
      </c>
      <c r="F6" s="2" t="inlineStr">
        <is>
          <t>3</t>
        </is>
      </c>
      <c r="G6" s="2" t="inlineStr">
        <is>
          <t>4</t>
        </is>
      </c>
      <c r="H6" s="2" t="inlineStr">
        <is>
          <t>3</t>
        </is>
      </c>
      <c r="I6" s="2" t="inlineStr">
        <is>
          <t>3</t>
        </is>
      </c>
      <c r="J6" s="2" t="inlineStr">
        <is>
          <t>1</t>
        </is>
      </c>
      <c r="K6" s="2" t="inlineStr">
        <is>
          <t>3</t>
        </is>
      </c>
      <c r="L6" s="2" t="inlineStr">
        <is>
          <t>1</t>
        </is>
      </c>
      <c r="M6" s="2" t="inlineStr">
        <is>
          <t>4</t>
        </is>
      </c>
      <c r="N6" s="2" t="inlineStr">
        <is>
          <t>3</t>
        </is>
      </c>
      <c r="O6" s="2" t="inlineStr">
        <is>
          <t>58.0</t>
        </is>
      </c>
      <c r="P6" s="2" t="inlineStr">
        <is>
          <t>REJ</t>
        </is>
      </c>
      <c r="Q6" s="2" t="inlineStr">
        <is>
          <t>Derivative of well-known film/TV openings</t>
        </is>
      </c>
    </row>
    <row r="7">
      <c r="A7" s="2" t="inlineStr">
        <is>
          <t>T006</t>
        </is>
      </c>
      <c r="B7" s="2" t="inlineStr">
        <is>
          <t>Shopping mall stronghold: glass doors and food court</t>
        </is>
      </c>
      <c r="C7" s="2" t="inlineStr">
        <is>
          <t>P1</t>
        </is>
      </c>
      <c r="D7" s="2" t="inlineStr">
        <is>
          <t>[BK] classic debate</t>
        </is>
      </c>
      <c r="E7" s="2" t="inlineStr">
        <is>
          <t>E</t>
        </is>
      </c>
      <c r="F7" s="2" t="inlineStr">
        <is>
          <t>4</t>
        </is>
      </c>
      <c r="G7" s="2" t="inlineStr">
        <is>
          <t>4</t>
        </is>
      </c>
      <c r="H7" s="2" t="inlineStr">
        <is>
          <t>3</t>
        </is>
      </c>
      <c r="I7" s="2" t="inlineStr">
        <is>
          <t>4</t>
        </is>
      </c>
      <c r="J7" s="2" t="inlineStr">
        <is>
          <t>2</t>
        </is>
      </c>
      <c r="K7" s="2" t="inlineStr">
        <is>
          <t>3</t>
        </is>
      </c>
      <c r="L7" s="2" t="inlineStr">
        <is>
          <t>2</t>
        </is>
      </c>
      <c r="M7" s="2" t="inlineStr">
        <is>
          <t>4</t>
        </is>
      </c>
      <c r="N7" s="2" t="inlineStr">
        <is>
          <t>3</t>
        </is>
      </c>
      <c r="O7" s="2" t="inlineStr">
        <is>
          <t>66.3</t>
        </is>
      </c>
      <c r="P7" s="2" t="inlineStr">
        <is>
          <t>REJ</t>
        </is>
      </c>
      <c r="Q7" s="2" t="inlineStr">
        <is>
          <t>Overlaps superstore (WS-003) with weaker angle; film-derivative</t>
        </is>
      </c>
    </row>
    <row r="8">
      <c r="A8" s="2" t="inlineStr">
        <is>
          <t>T007</t>
        </is>
      </c>
      <c r="B8" s="2" t="inlineStr">
        <is>
          <t>Warehouse superstore: 'best place to survive?' — the crowd problem and the delivery van</t>
        </is>
      </c>
      <c r="C8" s="2" t="inlineStr">
        <is>
          <t>P1</t>
        </is>
      </c>
      <c r="D8" s="2" t="inlineStr">
        <is>
          <t>[BK] common 'Costco in the apocalypse' debate</t>
        </is>
      </c>
      <c r="E8" s="2" t="inlineStr">
        <is>
          <t>E</t>
        </is>
      </c>
      <c r="F8" s="2" t="inlineStr">
        <is>
          <t>5</t>
        </is>
      </c>
      <c r="G8" s="2" t="inlineStr">
        <is>
          <t>5</t>
        </is>
      </c>
      <c r="H8" s="2" t="inlineStr">
        <is>
          <t>4</t>
        </is>
      </c>
      <c r="I8" s="2" t="inlineStr">
        <is>
          <t>4</t>
        </is>
      </c>
      <c r="J8" s="2" t="inlineStr">
        <is>
          <t>4</t>
        </is>
      </c>
      <c r="K8" s="2" t="inlineStr">
        <is>
          <t>5</t>
        </is>
      </c>
      <c r="L8" s="2" t="inlineStr">
        <is>
          <t>3</t>
        </is>
      </c>
      <c r="M8" s="2" t="inlineStr">
        <is>
          <t>5</t>
        </is>
      </c>
      <c r="N8" s="2" t="inlineStr">
        <is>
          <t>3</t>
        </is>
      </c>
      <c r="O8" s="2" t="inlineStr">
        <is>
          <t>86.8</t>
        </is>
      </c>
      <c r="P8" s="2" t="inlineStr">
        <is>
          <t>WS-003</t>
        </is>
      </c>
      <c r="Q8" s="2" t="inlineStr">
        <is>
          <t>Selected; debate magnet</t>
        </is>
      </c>
    </row>
    <row r="9">
      <c r="A9" s="2" t="inlineStr">
        <is>
          <t>T008</t>
        </is>
      </c>
      <c r="B9" s="2" t="inlineStr">
        <is>
          <t>Hardware store vs superstore poll</t>
        </is>
      </c>
      <c r="C9" s="2" t="inlineStr">
        <is>
          <t>P1</t>
        </is>
      </c>
      <c r="D9" s="2" t="inlineStr">
        <is>
          <t>[BK]</t>
        </is>
      </c>
      <c r="E9" s="2" t="inlineStr">
        <is>
          <t>E</t>
        </is>
      </c>
      <c r="F9" s="2" t="inlineStr">
        <is>
          <t>3</t>
        </is>
      </c>
      <c r="G9" s="2" t="inlineStr">
        <is>
          <t>4</t>
        </is>
      </c>
      <c r="H9" s="2" t="inlineStr">
        <is>
          <t>2</t>
        </is>
      </c>
      <c r="I9" s="2" t="inlineStr">
        <is>
          <t>3</t>
        </is>
      </c>
      <c r="J9" s="2" t="inlineStr">
        <is>
          <t>3</t>
        </is>
      </c>
      <c r="K9" s="2" t="inlineStr">
        <is>
          <t>2</t>
        </is>
      </c>
      <c r="L9" s="2" t="inlineStr">
        <is>
          <t>2</t>
        </is>
      </c>
      <c r="M9" s="2" t="inlineStr">
        <is>
          <t>4</t>
        </is>
      </c>
      <c r="N9" s="2" t="inlineStr">
        <is>
          <t>4</t>
        </is>
      </c>
      <c r="O9" s="2" t="inlineStr">
        <is>
          <t>60.5</t>
        </is>
      </c>
      <c r="P9" s="2" t="inlineStr">
        <is>
          <t>REJ</t>
        </is>
      </c>
      <c r="Q9" s="2" t="inlineStr">
        <is>
          <t>Poll, not a story</t>
        </is>
      </c>
    </row>
    <row r="10">
      <c r="A10" s="2" t="inlineStr">
        <is>
          <t>T009</t>
        </is>
      </c>
      <c r="B10" s="2" t="inlineStr">
        <is>
          <t>Prison: walls perfect, who's inside?</t>
        </is>
      </c>
      <c r="C10" s="2" t="inlineStr">
        <is>
          <t>P1</t>
        </is>
      </c>
      <c r="D10" s="2" t="inlineStr">
        <is>
          <t>[BK]</t>
        </is>
      </c>
      <c r="E10" s="2" t="inlineStr">
        <is>
          <t>E</t>
        </is>
      </c>
      <c r="F10" s="2" t="inlineStr">
        <is>
          <t>3</t>
        </is>
      </c>
      <c r="G10" s="2" t="inlineStr">
        <is>
          <t>4</t>
        </is>
      </c>
      <c r="H10" s="2" t="inlineStr">
        <is>
          <t>3</t>
        </is>
      </c>
      <c r="I10" s="2" t="inlineStr">
        <is>
          <t>3</t>
        </is>
      </c>
      <c r="J10" s="2" t="inlineStr">
        <is>
          <t>1</t>
        </is>
      </c>
      <c r="K10" s="2" t="inlineStr">
        <is>
          <t>3</t>
        </is>
      </c>
      <c r="L10" s="2" t="inlineStr">
        <is>
          <t>2</t>
        </is>
      </c>
      <c r="M10" s="2" t="inlineStr">
        <is>
          <t>4</t>
        </is>
      </c>
      <c r="N10" s="2" t="inlineStr">
        <is>
          <t>2</t>
        </is>
      </c>
      <c r="O10" s="2" t="inlineStr">
        <is>
          <t>57.6</t>
        </is>
      </c>
      <c r="P10" s="2" t="inlineStr">
        <is>
          <t>REJ</t>
        </is>
      </c>
      <c r="Q10" s="2" t="inlineStr">
        <is>
          <t>Derivative of TV prison arc; heavy sets</t>
        </is>
      </c>
    </row>
    <row r="11">
      <c r="A11" s="2" t="inlineStr">
        <is>
          <t>T010</t>
        </is>
      </c>
      <c r="B11" s="2" t="inlineStr">
        <is>
          <t>Sailboat: 'they can't swim' — but they don't breathe (anchor chain)</t>
        </is>
      </c>
      <c r="C11" s="2" t="inlineStr">
        <is>
          <t>P1</t>
        </is>
      </c>
      <c r="D11" s="2" t="inlineStr">
        <is>
          <t>[BK] boat strategy in popular survival guides</t>
        </is>
      </c>
      <c r="E11" s="2" t="inlineStr">
        <is>
          <t>E</t>
        </is>
      </c>
      <c r="F11" s="2" t="inlineStr">
        <is>
          <t>4</t>
        </is>
      </c>
      <c r="G11" s="2" t="inlineStr">
        <is>
          <t>5</t>
        </is>
      </c>
      <c r="H11" s="2" t="inlineStr">
        <is>
          <t>4</t>
        </is>
      </c>
      <c r="I11" s="2" t="inlineStr">
        <is>
          <t>4</t>
        </is>
      </c>
      <c r="J11" s="2" t="inlineStr">
        <is>
          <t>5</t>
        </is>
      </c>
      <c r="K11" s="2" t="inlineStr">
        <is>
          <t>5</t>
        </is>
      </c>
      <c r="L11" s="2" t="inlineStr">
        <is>
          <t>3</t>
        </is>
      </c>
      <c r="M11" s="2" t="inlineStr">
        <is>
          <t>5</t>
        </is>
      </c>
      <c r="N11" s="2" t="inlineStr">
        <is>
          <t>3</t>
        </is>
      </c>
      <c r="O11" s="2" t="inlineStr">
        <is>
          <t>85.9</t>
        </is>
      </c>
      <c r="P11" s="2" t="inlineStr">
        <is>
          <t>WS-009</t>
        </is>
      </c>
      <c r="Q11" s="2" t="inlineStr">
        <is>
          <t>Selected; pays off WR-02</t>
        </is>
      </c>
    </row>
    <row r="12">
      <c r="A12" s="2" t="inlineStr">
        <is>
          <t>T011</t>
        </is>
      </c>
      <c r="B12" s="2" t="inlineStr">
        <is>
          <t>Small island safe until the ferry arrives</t>
        </is>
      </c>
      <c r="C12" s="2" t="inlineStr">
        <is>
          <t>P1</t>
        </is>
      </c>
      <c r="D12" s="2" t="inlineStr">
        <is>
          <t>[BK]</t>
        </is>
      </c>
      <c r="E12" s="2" t="inlineStr">
        <is>
          <t>E</t>
        </is>
      </c>
      <c r="F12" s="2" t="inlineStr">
        <is>
          <t>3</t>
        </is>
      </c>
      <c r="G12" s="2" t="inlineStr">
        <is>
          <t>4</t>
        </is>
      </c>
      <c r="H12" s="2" t="inlineStr">
        <is>
          <t>3</t>
        </is>
      </c>
      <c r="I12" s="2" t="inlineStr">
        <is>
          <t>4</t>
        </is>
      </c>
      <c r="J12" s="2" t="inlineStr">
        <is>
          <t>3</t>
        </is>
      </c>
      <c r="K12" s="2" t="inlineStr">
        <is>
          <t>3</t>
        </is>
      </c>
      <c r="L12" s="2" t="inlineStr">
        <is>
          <t>2</t>
        </is>
      </c>
      <c r="M12" s="2" t="inlineStr">
        <is>
          <t>4</t>
        </is>
      </c>
      <c r="N12" s="2" t="inlineStr">
        <is>
          <t>3</t>
        </is>
      </c>
      <c r="O12" s="2" t="inlineStr">
        <is>
          <t>65.4</t>
        </is>
      </c>
      <c r="P12" s="2" t="inlineStr">
        <is>
          <t>DEF</t>
        </is>
      </c>
      <c r="Q12" s="2" t="inlineStr">
        <is>
          <t>Overlaps WS-009 water theme; month 2</t>
        </is>
      </c>
    </row>
    <row r="13">
      <c r="A13" s="2" t="inlineStr">
        <is>
          <t>T012</t>
        </is>
      </c>
      <c r="B13" s="2" t="inlineStr">
        <is>
          <t>Cruise ship: one sick passenger, four days from port</t>
        </is>
      </c>
      <c r="C13" s="2" t="inlineStr">
        <is>
          <t>P1</t>
        </is>
      </c>
      <c r="D13" s="2" t="inlineStr">
        <is>
          <t>[J][BK] cruise outbreak news</t>
        </is>
      </c>
      <c r="E13" s="2" t="inlineStr">
        <is>
          <t>E</t>
        </is>
      </c>
      <c r="F13" s="2" t="inlineStr">
        <is>
          <t>4</t>
        </is>
      </c>
      <c r="G13" s="2" t="inlineStr">
        <is>
          <t>4</t>
        </is>
      </c>
      <c r="H13" s="2" t="inlineStr">
        <is>
          <t>4</t>
        </is>
      </c>
      <c r="I13" s="2" t="inlineStr">
        <is>
          <t>4</t>
        </is>
      </c>
      <c r="J13" s="2" t="inlineStr">
        <is>
          <t>3</t>
        </is>
      </c>
      <c r="K13" s="2" t="inlineStr">
        <is>
          <t>4</t>
        </is>
      </c>
      <c r="L13" s="2" t="inlineStr">
        <is>
          <t>2</t>
        </is>
      </c>
      <c r="M13" s="2" t="inlineStr">
        <is>
          <t>4</t>
        </is>
      </c>
      <c r="N13" s="2" t="inlineStr">
        <is>
          <t>2</t>
        </is>
      </c>
      <c r="O13" s="2" t="inlineStr">
        <is>
          <t>71.2</t>
        </is>
      </c>
      <c r="P13" s="2" t="inlineStr">
        <is>
          <t>R09</t>
        </is>
      </c>
      <c r="Q13" s="2" t="inlineStr">
        <is>
          <t>Reserve (heavy kit)</t>
        </is>
      </c>
    </row>
    <row r="14">
      <c r="A14" s="2" t="inlineStr">
        <is>
          <t>T013</t>
        </is>
      </c>
      <c r="B14" s="2" t="inlineStr">
        <is>
          <t>Airplane at 35,000 ft: row 31 was bitten</t>
        </is>
      </c>
      <c r="C14" s="2" t="inlineStr">
        <is>
          <t>P1</t>
        </is>
      </c>
      <c r="D14" s="2" t="inlineStr">
        <is>
          <t>[J]</t>
        </is>
      </c>
      <c r="E14" s="2" t="inlineStr">
        <is>
          <t>E (holiday travel)</t>
        </is>
      </c>
      <c r="F14" s="2" t="inlineStr">
        <is>
          <t>5</t>
        </is>
      </c>
      <c r="G14" s="2" t="inlineStr">
        <is>
          <t>5</t>
        </is>
      </c>
      <c r="H14" s="2" t="inlineStr">
        <is>
          <t>5</t>
        </is>
      </c>
      <c r="I14" s="2" t="inlineStr">
        <is>
          <t>4</t>
        </is>
      </c>
      <c r="J14" s="2" t="inlineStr">
        <is>
          <t>3</t>
        </is>
      </c>
      <c r="K14" s="2" t="inlineStr">
        <is>
          <t>4</t>
        </is>
      </c>
      <c r="L14" s="2" t="inlineStr">
        <is>
          <t>2</t>
        </is>
      </c>
      <c r="M14" s="2" t="inlineStr">
        <is>
          <t>5</t>
        </is>
      </c>
      <c r="N14" s="2" t="inlineStr">
        <is>
          <t>2</t>
        </is>
      </c>
      <c r="O14" s="2" t="inlineStr">
        <is>
          <t>81.5</t>
        </is>
      </c>
      <c r="P14" s="2" t="inlineStr">
        <is>
          <t>WS-006</t>
        </is>
      </c>
      <c r="Q14" s="2" t="inlineStr">
        <is>
          <t>Selected; strong confined-space premise</t>
        </is>
      </c>
    </row>
    <row r="15">
      <c r="A15" s="2" t="inlineStr">
        <is>
          <t>T014</t>
        </is>
      </c>
      <c r="B15" s="2" t="inlineStr">
        <is>
          <t>Subway car stalls in a tunnel, lights out</t>
        </is>
      </c>
      <c r="C15" s="2" t="inlineStr">
        <is>
          <t>P1</t>
        </is>
      </c>
      <c r="D15" s="2" t="inlineStr">
        <is>
          <t>[J]</t>
        </is>
      </c>
      <c r="E15" s="2" t="inlineStr">
        <is>
          <t>E</t>
        </is>
      </c>
      <c r="F15" s="2" t="inlineStr">
        <is>
          <t>4</t>
        </is>
      </c>
      <c r="G15" s="2" t="inlineStr">
        <is>
          <t>5</t>
        </is>
      </c>
      <c r="H15" s="2" t="inlineStr">
        <is>
          <t>4</t>
        </is>
      </c>
      <c r="I15" s="2" t="inlineStr">
        <is>
          <t>4</t>
        </is>
      </c>
      <c r="J15" s="2" t="inlineStr">
        <is>
          <t>3</t>
        </is>
      </c>
      <c r="K15" s="2" t="inlineStr">
        <is>
          <t>4</t>
        </is>
      </c>
      <c r="L15" s="2" t="inlineStr">
        <is>
          <t>2</t>
        </is>
      </c>
      <c r="M15" s="2" t="inlineStr">
        <is>
          <t>5</t>
        </is>
      </c>
      <c r="N15" s="2" t="inlineStr">
        <is>
          <t>3</t>
        </is>
      </c>
      <c r="O15" s="2" t="inlineStr">
        <is>
          <t>78.0</t>
        </is>
      </c>
      <c r="P15" s="2" t="inlineStr">
        <is>
          <t>WS-022</t>
        </is>
      </c>
      <c r="Q15" s="2" t="inlineStr">
        <is>
          <t>Selected</t>
        </is>
      </c>
    </row>
    <row r="16">
      <c r="A16" s="2" t="inlineStr">
        <is>
          <t>T015</t>
        </is>
      </c>
      <c r="B16" s="2" t="inlineStr">
        <is>
          <t>Gas station at 2 a.m.: fuel, snacks, one locked bathroom</t>
        </is>
      </c>
      <c r="C16" s="2" t="inlineStr">
        <is>
          <t>P1</t>
        </is>
      </c>
      <c r="D16" s="2" t="inlineStr">
        <is>
          <t>[J]</t>
        </is>
      </c>
      <c r="E16" s="2" t="inlineStr">
        <is>
          <t>E</t>
        </is>
      </c>
      <c r="F16" s="2" t="inlineStr">
        <is>
          <t>4</t>
        </is>
      </c>
      <c r="G16" s="2" t="inlineStr">
        <is>
          <t>4</t>
        </is>
      </c>
      <c r="H16" s="2" t="inlineStr">
        <is>
          <t>4</t>
        </is>
      </c>
      <c r="I16" s="2" t="inlineStr">
        <is>
          <t>3</t>
        </is>
      </c>
      <c r="J16" s="2" t="inlineStr">
        <is>
          <t>4</t>
        </is>
      </c>
      <c r="K16" s="2" t="inlineStr">
        <is>
          <t>4</t>
        </is>
      </c>
      <c r="L16" s="2" t="inlineStr">
        <is>
          <t>2</t>
        </is>
      </c>
      <c r="M16" s="2" t="inlineStr">
        <is>
          <t>5</t>
        </is>
      </c>
      <c r="N16" s="2" t="inlineStr">
        <is>
          <t>5</t>
        </is>
      </c>
      <c r="O16" s="2" t="inlineStr">
        <is>
          <t>79.0</t>
        </is>
      </c>
      <c r="P16" s="2" t="inlineStr">
        <is>
          <t>R04</t>
        </is>
      </c>
      <c r="Q16" s="2" t="inlineStr">
        <is>
          <t>Reserve; cheapest P1 (one set)</t>
        </is>
      </c>
    </row>
    <row r="17">
      <c r="A17" s="2" t="inlineStr">
        <is>
          <t>T016</t>
        </is>
      </c>
      <c r="B17" s="2" t="inlineStr">
        <is>
          <t>Ski lodge snowed in: are they slower in the cold?</t>
        </is>
      </c>
      <c r="C17" s="2" t="inlineStr">
        <is>
          <t>P1</t>
        </is>
      </c>
      <c r="D17" s="2" t="inlineStr">
        <is>
          <t>[J]</t>
        </is>
      </c>
      <c r="E17" s="2" t="inlineStr">
        <is>
          <t>W</t>
        </is>
      </c>
      <c r="F17" s="2" t="inlineStr">
        <is>
          <t>3</t>
        </is>
      </c>
      <c r="G17" s="2" t="inlineStr">
        <is>
          <t>4</t>
        </is>
      </c>
      <c r="H17" s="2" t="inlineStr">
        <is>
          <t>3</t>
        </is>
      </c>
      <c r="I17" s="2" t="inlineStr">
        <is>
          <t>4</t>
        </is>
      </c>
      <c r="J17" s="2" t="inlineStr">
        <is>
          <t>3</t>
        </is>
      </c>
      <c r="K17" s="2" t="inlineStr">
        <is>
          <t>3</t>
        </is>
      </c>
      <c r="L17" s="2" t="inlineStr">
        <is>
          <t>1</t>
        </is>
      </c>
      <c r="M17" s="2" t="inlineStr">
        <is>
          <t>4</t>
        </is>
      </c>
      <c r="N17" s="2" t="inlineStr">
        <is>
          <t>3</t>
        </is>
      </c>
      <c r="O17" s="2" t="inlineStr">
        <is>
          <t>63.9</t>
        </is>
      </c>
      <c r="P17" s="2" t="inlineStr">
        <is>
          <t>DEF</t>
        </is>
      </c>
      <c r="Q17" s="2" t="inlineStr">
        <is>
          <t>Cold rule handled by Station Zero saga</t>
        </is>
      </c>
    </row>
    <row r="18">
      <c r="A18" s="2" t="inlineStr">
        <is>
          <t>T017</t>
        </is>
      </c>
      <c r="B18" s="2" t="inlineStr">
        <is>
          <t>Thanksgiving dinner: grandpa 'isn't feeling well'</t>
        </is>
      </c>
      <c r="C18" s="2" t="inlineStr">
        <is>
          <t>P1</t>
        </is>
      </c>
      <c r="D18" s="2" t="inlineStr">
        <is>
          <t>[J] + calendar</t>
        </is>
      </c>
      <c r="E18" s="2" t="inlineStr">
        <is>
          <t>T</t>
        </is>
      </c>
      <c r="F18" s="2" t="inlineStr">
        <is>
          <t>4</t>
        </is>
      </c>
      <c r="G18" s="2" t="inlineStr">
        <is>
          <t>5</t>
        </is>
      </c>
      <c r="H18" s="2" t="inlineStr">
        <is>
          <t>4</t>
        </is>
      </c>
      <c r="I18" s="2" t="inlineStr">
        <is>
          <t>3</t>
        </is>
      </c>
      <c r="J18" s="2" t="inlineStr">
        <is>
          <t>4</t>
        </is>
      </c>
      <c r="K18" s="2" t="inlineStr">
        <is>
          <t>4</t>
        </is>
      </c>
      <c r="L18" s="2" t="inlineStr">
        <is>
          <t>2</t>
        </is>
      </c>
      <c r="M18" s="2" t="inlineStr">
        <is>
          <t>4</t>
        </is>
      </c>
      <c r="N18" s="2" t="inlineStr">
        <is>
          <t>4</t>
        </is>
      </c>
      <c r="O18" s="2" t="inlineStr">
        <is>
          <t>78.0</t>
        </is>
      </c>
      <c r="P18" s="2" t="inlineStr">
        <is>
          <t>DEF</t>
        </is>
      </c>
      <c r="Q18" s="2" t="inlineStr">
        <is>
          <t>Strong but Thanksgiving slot goes to grease-fire Real Rule; keep for Thanksgiving 2027 or a 'Both Endings'</t>
        </is>
      </c>
    </row>
    <row r="19">
      <c r="A19" s="2" t="inlineStr">
        <is>
          <t>T018</t>
        </is>
      </c>
      <c r="B19" s="2" t="inlineStr">
        <is>
          <t>Black Friday doorbuster: the crowd isn't shoppers</t>
        </is>
      </c>
      <c r="C19" s="2" t="inlineStr">
        <is>
          <t>P1</t>
        </is>
      </c>
      <c r="D19" s="2" t="inlineStr">
        <is>
          <t>[J] + calendar</t>
        </is>
      </c>
      <c r="E19" s="2" t="inlineStr">
        <is>
          <t>T</t>
        </is>
      </c>
      <c r="F19" s="2" t="inlineStr">
        <is>
          <t>4</t>
        </is>
      </c>
      <c r="G19" s="2" t="inlineStr">
        <is>
          <t>5</t>
        </is>
      </c>
      <c r="H19" s="2" t="inlineStr">
        <is>
          <t>3</t>
        </is>
      </c>
      <c r="I19" s="2" t="inlineStr">
        <is>
          <t>4</t>
        </is>
      </c>
      <c r="J19" s="2" t="inlineStr">
        <is>
          <t>3</t>
        </is>
      </c>
      <c r="K19" s="2" t="inlineStr">
        <is>
          <t>3</t>
        </is>
      </c>
      <c r="L19" s="2" t="inlineStr">
        <is>
          <t>2</t>
        </is>
      </c>
      <c r="M19" s="2" t="inlineStr">
        <is>
          <t>4</t>
        </is>
      </c>
      <c r="N19" s="2" t="inlineStr">
        <is>
          <t>2</t>
        </is>
      </c>
      <c r="O19" s="2" t="inlineStr">
        <is>
          <t>69.3</t>
        </is>
      </c>
      <c r="P19" s="2" t="inlineStr">
        <is>
          <t>DEF</t>
        </is>
      </c>
      <c r="Q19" s="2" t="inlineStr">
        <is>
          <t>Black Friday slot used for crowd-surge Real Rule</t>
        </is>
      </c>
    </row>
    <row r="20">
      <c r="A20" s="2" t="inlineStr">
        <is>
          <t>T019</t>
        </is>
      </c>
      <c r="B20" s="2" t="inlineStr">
        <is>
          <t>Halloween: everyone is in zombie makeup — the breath test</t>
        </is>
      </c>
      <c r="C20" s="2" t="inlineStr">
        <is>
          <t>P1</t>
        </is>
      </c>
      <c r="D20" s="2" t="inlineStr">
        <is>
          <t>[J] + calendar (Sat 31 Oct) + [R-S11][R-S43][R-S48] October zombie scheduling precedents</t>
        </is>
      </c>
      <c r="E20" s="2" t="inlineStr">
        <is>
          <t>H</t>
        </is>
      </c>
      <c r="F20" s="2" t="inlineStr">
        <is>
          <t>5</t>
        </is>
      </c>
      <c r="G20" s="2" t="inlineStr">
        <is>
          <t>5</t>
        </is>
      </c>
      <c r="H20" s="2" t="inlineStr">
        <is>
          <t>5</t>
        </is>
      </c>
      <c r="I20" s="2" t="inlineStr">
        <is>
          <t>5</t>
        </is>
      </c>
      <c r="J20" s="2" t="inlineStr">
        <is>
          <t>5</t>
        </is>
      </c>
      <c r="K20" s="2" t="inlineStr">
        <is>
          <t>5</t>
        </is>
      </c>
      <c r="L20" s="2" t="inlineStr">
        <is>
          <t>3</t>
        </is>
      </c>
      <c r="M20" s="2" t="inlineStr">
        <is>
          <t>5</t>
        </is>
      </c>
      <c r="N20" s="2" t="inlineStr">
        <is>
          <t>3</t>
        </is>
      </c>
      <c r="O20" s="2" t="inlineStr">
        <is>
          <t>93.2</t>
        </is>
      </c>
      <c r="P20" s="2" t="inlineStr">
        <is>
          <t>WS-001</t>
        </is>
      </c>
      <c r="Q20" s="2" t="inlineStr">
        <is>
          <t>Selected Day 1</t>
        </is>
      </c>
    </row>
    <row r="21">
      <c r="A21" s="2" t="inlineStr">
        <is>
          <t>T020</t>
        </is>
      </c>
      <c r="B21" s="2" t="inlineStr">
        <is>
          <t>Trick-or-treat route: houses with lights on are dangerous</t>
        </is>
      </c>
      <c r="C21" s="2" t="inlineStr">
        <is>
          <t>P1</t>
        </is>
      </c>
      <c r="D21" s="2" t="inlineStr">
        <is>
          <t>[J]</t>
        </is>
      </c>
      <c r="E21" s="2" t="inlineStr">
        <is>
          <t>H</t>
        </is>
      </c>
      <c r="F21" s="2" t="inlineStr">
        <is>
          <t>3</t>
        </is>
      </c>
      <c r="G21" s="2" t="inlineStr">
        <is>
          <t>4</t>
        </is>
      </c>
      <c r="H21" s="2" t="inlineStr">
        <is>
          <t>3</t>
        </is>
      </c>
      <c r="I21" s="2" t="inlineStr">
        <is>
          <t>4</t>
        </is>
      </c>
      <c r="J21" s="2" t="inlineStr">
        <is>
          <t>3</t>
        </is>
      </c>
      <c r="K21" s="2" t="inlineStr">
        <is>
          <t>3</t>
        </is>
      </c>
      <c r="L21" s="2" t="inlineStr">
        <is>
          <t>1</t>
        </is>
      </c>
      <c r="M21" s="2" t="inlineStr">
        <is>
          <t>4</t>
        </is>
      </c>
      <c r="N21" s="2" t="inlineStr">
        <is>
          <t>3</t>
        </is>
      </c>
      <c r="O21" s="2" t="inlineStr">
        <is>
          <t>63.9</t>
        </is>
      </c>
      <c r="P21" s="2" t="inlineStr">
        <is>
          <t>REJ</t>
        </is>
      </c>
      <c r="Q21" s="2" t="inlineStr">
        <is>
          <t>Folded into WS-001</t>
        </is>
      </c>
    </row>
    <row r="22">
      <c r="A22" s="2" t="inlineStr">
        <is>
          <t>T021</t>
        </is>
      </c>
      <c r="B22" s="2" t="inlineStr">
        <is>
          <t>Wedding reception: the best man was bitten at the bachelor party</t>
        </is>
      </c>
      <c r="C22" s="2" t="inlineStr">
        <is>
          <t>P1</t>
        </is>
      </c>
      <c r="D22" s="2" t="inlineStr">
        <is>
          <t>[J]</t>
        </is>
      </c>
      <c r="E22" s="2" t="inlineStr">
        <is>
          <t>E</t>
        </is>
      </c>
      <c r="F22" s="2" t="inlineStr">
        <is>
          <t>4</t>
        </is>
      </c>
      <c r="G22" s="2" t="inlineStr">
        <is>
          <t>5</t>
        </is>
      </c>
      <c r="H22" s="2" t="inlineStr">
        <is>
          <t>4</t>
        </is>
      </c>
      <c r="I22" s="2" t="inlineStr">
        <is>
          <t>4</t>
        </is>
      </c>
      <c r="J22" s="2" t="inlineStr">
        <is>
          <t>4</t>
        </is>
      </c>
      <c r="K22" s="2" t="inlineStr">
        <is>
          <t>4</t>
        </is>
      </c>
      <c r="L22" s="2" t="inlineStr">
        <is>
          <t>2</t>
        </is>
      </c>
      <c r="M22" s="2" t="inlineStr">
        <is>
          <t>4</t>
        </is>
      </c>
      <c r="N22" s="2" t="inlineStr">
        <is>
          <t>3</t>
        </is>
      </c>
      <c r="O22" s="2" t="inlineStr">
        <is>
          <t>78.0</t>
        </is>
      </c>
      <c r="P22" s="2" t="inlineStr">
        <is>
          <t>R07</t>
        </is>
      </c>
      <c r="Q22" s="2" t="inlineStr">
        <is>
          <t>Reserve; dark comedy</t>
        </is>
      </c>
    </row>
    <row r="23">
      <c r="A23" s="2" t="inlineStr">
        <is>
          <t>T022</t>
        </is>
      </c>
      <c r="B23" s="2" t="inlineStr">
        <is>
          <t>Office tower Monday: badge doors lock</t>
        </is>
      </c>
      <c r="C23" s="2" t="inlineStr">
        <is>
          <t>P1</t>
        </is>
      </c>
      <c r="D23" s="2" t="inlineStr">
        <is>
          <t>[J]</t>
        </is>
      </c>
      <c r="E23" s="2" t="inlineStr">
        <is>
          <t>E</t>
        </is>
      </c>
      <c r="F23" s="2" t="inlineStr">
        <is>
          <t>3</t>
        </is>
      </c>
      <c r="G23" s="2" t="inlineStr">
        <is>
          <t>4</t>
        </is>
      </c>
      <c r="H23" s="2" t="inlineStr">
        <is>
          <t>3</t>
        </is>
      </c>
      <c r="I23" s="2" t="inlineStr">
        <is>
          <t>3</t>
        </is>
      </c>
      <c r="J23" s="2" t="inlineStr">
        <is>
          <t>3</t>
        </is>
      </c>
      <c r="K23" s="2" t="inlineStr">
        <is>
          <t>3</t>
        </is>
      </c>
      <c r="L23" s="2" t="inlineStr">
        <is>
          <t>1</t>
        </is>
      </c>
      <c r="M23" s="2" t="inlineStr">
        <is>
          <t>4</t>
        </is>
      </c>
      <c r="N23" s="2" t="inlineStr">
        <is>
          <t>3</t>
        </is>
      </c>
      <c r="O23" s="2" t="inlineStr">
        <is>
          <t>62.0</t>
        </is>
      </c>
      <c r="P23" s="2" t="inlineStr">
        <is>
          <t>REJ</t>
        </is>
      </c>
      <c r="Q23" s="2" t="inlineStr">
        <is>
          <t>Rests on unverified access-control claims (fail-safe vs fail-secure)</t>
        </is>
      </c>
    </row>
    <row r="24">
      <c r="A24" s="2" t="inlineStr">
        <is>
          <t>T023</t>
        </is>
      </c>
      <c r="B24" s="2" t="inlineStr">
        <is>
          <t>Fast-food kitchen: walk-in freezer panic room</t>
        </is>
      </c>
      <c r="C24" s="2" t="inlineStr">
        <is>
          <t>P1</t>
        </is>
      </c>
      <c r="D24" s="2" t="inlineStr">
        <is>
          <t>[R-S30] Snapchat precedent</t>
        </is>
      </c>
      <c r="E24" s="2" t="inlineStr">
        <is>
          <t>E</t>
        </is>
      </c>
      <c r="F24" s="2" t="inlineStr">
        <is>
          <t>4</t>
        </is>
      </c>
      <c r="G24" s="2" t="inlineStr">
        <is>
          <t>4</t>
        </is>
      </c>
      <c r="H24" s="2" t="inlineStr">
        <is>
          <t>3</t>
        </is>
      </c>
      <c r="I24" s="2" t="inlineStr">
        <is>
          <t>3</t>
        </is>
      </c>
      <c r="J24" s="2" t="inlineStr">
        <is>
          <t>3</t>
        </is>
      </c>
      <c r="K24" s="2" t="inlineStr">
        <is>
          <t>3</t>
        </is>
      </c>
      <c r="L24" s="2" t="inlineStr">
        <is>
          <t>3</t>
        </is>
      </c>
      <c r="M24" s="2" t="inlineStr">
        <is>
          <t>4</t>
        </is>
      </c>
      <c r="N24" s="2" t="inlineStr">
        <is>
          <t>4</t>
        </is>
      </c>
      <c r="O24" s="2" t="inlineStr">
        <is>
          <t>69.8</t>
        </is>
      </c>
      <c r="P24" s="2" t="inlineStr">
        <is>
          <t>DEF</t>
        </is>
      </c>
      <c r="Q24" s="2" t="inlineStr">
        <is>
          <t>Freezer logic conflicts with WR-06 only below −20 °C; month 2</t>
        </is>
      </c>
    </row>
    <row r="25">
      <c r="A25" s="2" t="inlineStr">
        <is>
          <t>T024</t>
        </is>
      </c>
      <c r="B25" s="2" t="inlineStr">
        <is>
          <t>Submarine: surface or stay down 90 days?</t>
        </is>
      </c>
      <c r="C25" s="2" t="inlineStr">
        <is>
          <t>P1</t>
        </is>
      </c>
      <c r="D25" s="2" t="inlineStr">
        <is>
          <t>[J]</t>
        </is>
      </c>
      <c r="E25" s="2" t="inlineStr">
        <is>
          <t>E</t>
        </is>
      </c>
      <c r="F25" s="2" t="inlineStr">
        <is>
          <t>3</t>
        </is>
      </c>
      <c r="G25" s="2" t="inlineStr">
        <is>
          <t>4</t>
        </is>
      </c>
      <c r="H25" s="2" t="inlineStr">
        <is>
          <t>4</t>
        </is>
      </c>
      <c r="I25" s="2" t="inlineStr">
        <is>
          <t>3</t>
        </is>
      </c>
      <c r="J25" s="2" t="inlineStr">
        <is>
          <t>4</t>
        </is>
      </c>
      <c r="K25" s="2" t="inlineStr">
        <is>
          <t>3</t>
        </is>
      </c>
      <c r="L25" s="2" t="inlineStr">
        <is>
          <t>1</t>
        </is>
      </c>
      <c r="M25" s="2" t="inlineStr">
        <is>
          <t>3</t>
        </is>
      </c>
      <c r="N25" s="2" t="inlineStr">
        <is>
          <t>2</t>
        </is>
      </c>
      <c r="O25" s="2" t="inlineStr">
        <is>
          <t>62.4</t>
        </is>
      </c>
      <c r="P25" s="2" t="inlineStr">
        <is>
          <t>REJ</t>
        </is>
      </c>
      <c r="Q25" s="2" t="inlineStr">
        <is>
          <t>Niche; expensive; little viewer relevance</t>
        </is>
      </c>
    </row>
    <row r="26">
      <c r="A26" s="2" t="inlineStr">
        <is>
          <t>T025</t>
        </is>
      </c>
      <c r="B26" s="2" t="inlineStr">
        <is>
          <t>Antarctic station: the last plane brings it (2-part saga)</t>
        </is>
      </c>
      <c r="C26" s="2" t="inlineStr">
        <is>
          <t>P1</t>
        </is>
      </c>
      <c r="D26" s="2" t="inlineStr">
        <is>
          <t>[J]</t>
        </is>
      </c>
      <c r="E26" s="2" t="inlineStr">
        <is>
          <t>W (southern summer)</t>
        </is>
      </c>
      <c r="F26" s="2" t="inlineStr">
        <is>
          <t>4</t>
        </is>
      </c>
      <c r="G26" s="2" t="inlineStr">
        <is>
          <t>5</t>
        </is>
      </c>
      <c r="H26" s="2" t="inlineStr">
        <is>
          <t>5</t>
        </is>
      </c>
      <c r="I26" s="2" t="inlineStr">
        <is>
          <t>5</t>
        </is>
      </c>
      <c r="J26" s="2" t="inlineStr">
        <is>
          <t>4</t>
        </is>
      </c>
      <c r="K26" s="2" t="inlineStr">
        <is>
          <t>5</t>
        </is>
      </c>
      <c r="L26" s="2" t="inlineStr">
        <is>
          <t>2</t>
        </is>
      </c>
      <c r="M26" s="2" t="inlineStr">
        <is>
          <t>5</t>
        </is>
      </c>
      <c r="N26" s="2" t="inlineStr">
        <is>
          <t>2</t>
        </is>
      </c>
      <c r="O26" s="2" t="inlineStr">
        <is>
          <t>84.9</t>
        </is>
      </c>
      <c r="P26" s="2" t="inlineStr">
        <is>
          <t>WS-015/016</t>
        </is>
      </c>
      <c r="Q26" s="2" t="inlineStr">
        <is>
          <t>Selected as the saga test</t>
        </is>
      </c>
    </row>
    <row r="27">
      <c r="A27" s="2" t="inlineStr">
        <is>
          <t>T026</t>
        </is>
      </c>
      <c r="B27" s="2" t="inlineStr">
        <is>
          <t>Theme park after closing</t>
        </is>
      </c>
      <c r="C27" s="2" t="inlineStr">
        <is>
          <t>P1</t>
        </is>
      </c>
      <c r="D27" s="2" t="inlineStr">
        <is>
          <t>[J]</t>
        </is>
      </c>
      <c r="E27" s="2" t="inlineStr">
        <is>
          <t>E</t>
        </is>
      </c>
      <c r="F27" s="2" t="inlineStr">
        <is>
          <t>3</t>
        </is>
      </c>
      <c r="G27" s="2" t="inlineStr">
        <is>
          <t>4</t>
        </is>
      </c>
      <c r="H27" s="2" t="inlineStr">
        <is>
          <t>3</t>
        </is>
      </c>
      <c r="I27" s="2" t="inlineStr">
        <is>
          <t>4</t>
        </is>
      </c>
      <c r="J27" s="2" t="inlineStr">
        <is>
          <t>2</t>
        </is>
      </c>
      <c r="K27" s="2" t="inlineStr">
        <is>
          <t>3</t>
        </is>
      </c>
      <c r="L27" s="2" t="inlineStr">
        <is>
          <t>1</t>
        </is>
      </c>
      <c r="M27" s="2" t="inlineStr">
        <is>
          <t>4</t>
        </is>
      </c>
      <c r="N27" s="2" t="inlineStr">
        <is>
          <t>2</t>
        </is>
      </c>
      <c r="O27" s="2" t="inlineStr">
        <is>
          <t>60.0</t>
        </is>
      </c>
      <c r="P27" s="2" t="inlineStr">
        <is>
          <t>REJ</t>
        </is>
      </c>
      <c r="Q27" s="2" t="inlineStr">
        <is>
          <t>Film-derivative; heavy</t>
        </is>
      </c>
    </row>
    <row r="28">
      <c r="A28" s="2" t="inlineStr">
        <is>
          <t>T027</t>
        </is>
      </c>
      <c r="B28" s="2" t="inlineStr">
        <is>
          <t>Zoo outbreak: are animals infected?</t>
        </is>
      </c>
      <c r="C28" s="2" t="inlineStr">
        <is>
          <t>P1</t>
        </is>
      </c>
      <c r="D28" s="2" t="inlineStr">
        <is>
          <t>[R-S51] film 'Zombies im Zoo' exists</t>
        </is>
      </c>
      <c r="E28" s="2" t="inlineStr">
        <is>
          <t>E</t>
        </is>
      </c>
      <c r="F28" s="2" t="inlineStr">
        <is>
          <t>3</t>
        </is>
      </c>
      <c r="G28" s="2" t="inlineStr">
        <is>
          <t>4</t>
        </is>
      </c>
      <c r="H28" s="2" t="inlineStr">
        <is>
          <t>3</t>
        </is>
      </c>
      <c r="I28" s="2" t="inlineStr">
        <is>
          <t>4</t>
        </is>
      </c>
      <c r="J28" s="2" t="inlineStr">
        <is>
          <t>2</t>
        </is>
      </c>
      <c r="K28" s="2" t="inlineStr">
        <is>
          <t>3</t>
        </is>
      </c>
      <c r="L28" s="2" t="inlineStr">
        <is>
          <t>3</t>
        </is>
      </c>
      <c r="M28" s="2" t="inlineStr">
        <is>
          <t>3</t>
        </is>
      </c>
      <c r="N28" s="2" t="inlineStr">
        <is>
          <t>2</t>
        </is>
      </c>
      <c r="O28" s="2" t="inlineStr">
        <is>
          <t>61.0</t>
        </is>
      </c>
      <c r="P28" s="2" t="inlineStr">
        <is>
          <t>REJ</t>
        </is>
      </c>
      <c r="Q28" s="2" t="inlineStr">
        <is>
          <t>Existing film; animal-infection rules would complicate WR set</t>
        </is>
      </c>
    </row>
    <row r="29">
      <c r="A29" s="2" t="inlineStr">
        <is>
          <t>T028</t>
        </is>
      </c>
      <c r="B29" s="2" t="inlineStr">
        <is>
          <t>Movie theater: the screams aren't from the film</t>
        </is>
      </c>
      <c r="C29" s="2" t="inlineStr">
        <is>
          <t>P1</t>
        </is>
      </c>
      <c r="D29" s="2" t="inlineStr">
        <is>
          <t>[J]</t>
        </is>
      </c>
      <c r="E29" s="2" t="inlineStr">
        <is>
          <t>H/E</t>
        </is>
      </c>
      <c r="F29" s="2" t="inlineStr">
        <is>
          <t>4</t>
        </is>
      </c>
      <c r="G29" s="2" t="inlineStr">
        <is>
          <t>5</t>
        </is>
      </c>
      <c r="H29" s="2" t="inlineStr">
        <is>
          <t>4</t>
        </is>
      </c>
      <c r="I29" s="2" t="inlineStr">
        <is>
          <t>4</t>
        </is>
      </c>
      <c r="J29" s="2" t="inlineStr">
        <is>
          <t>4</t>
        </is>
      </c>
      <c r="K29" s="2" t="inlineStr">
        <is>
          <t>4</t>
        </is>
      </c>
      <c r="L29" s="2" t="inlineStr">
        <is>
          <t>2</t>
        </is>
      </c>
      <c r="M29" s="2" t="inlineStr">
        <is>
          <t>5</t>
        </is>
      </c>
      <c r="N29" s="2" t="inlineStr">
        <is>
          <t>3</t>
        </is>
      </c>
      <c r="O29" s="2" t="inlineStr">
        <is>
          <t>80.0</t>
        </is>
      </c>
      <c r="P29" s="2" t="inlineStr">
        <is>
          <t>WS-013</t>
        </is>
      </c>
      <c r="Q29" s="2" t="inlineStr">
        <is>
          <t>Selected</t>
        </is>
      </c>
    </row>
    <row r="30">
      <c r="A30" s="2" t="inlineStr">
        <is>
          <t>T029</t>
        </is>
      </c>
      <c r="B30" s="2" t="inlineStr">
        <is>
          <t>Stadium: 70,000 people, 12 exits</t>
        </is>
      </c>
      <c r="C30" s="2" t="inlineStr">
        <is>
          <t>P1</t>
        </is>
      </c>
      <c r="D30" s="2" t="inlineStr">
        <is>
          <t>[J]</t>
        </is>
      </c>
      <c r="E30" s="2" t="inlineStr">
        <is>
          <t>E</t>
        </is>
      </c>
      <c r="F30" s="2" t="inlineStr">
        <is>
          <t>3</t>
        </is>
      </c>
      <c r="G30" s="2" t="inlineStr">
        <is>
          <t>4</t>
        </is>
      </c>
      <c r="H30" s="2" t="inlineStr">
        <is>
          <t>3</t>
        </is>
      </c>
      <c r="I30" s="2" t="inlineStr">
        <is>
          <t>4</t>
        </is>
      </c>
      <c r="J30" s="2" t="inlineStr">
        <is>
          <t>3</t>
        </is>
      </c>
      <c r="K30" s="2" t="inlineStr">
        <is>
          <t>3</t>
        </is>
      </c>
      <c r="L30" s="2" t="inlineStr">
        <is>
          <t>1</t>
        </is>
      </c>
      <c r="M30" s="2" t="inlineStr">
        <is>
          <t>4</t>
        </is>
      </c>
      <c r="N30" s="2" t="inlineStr">
        <is>
          <t>1</t>
        </is>
      </c>
      <c r="O30" s="2" t="inlineStr">
        <is>
          <t>60.0</t>
        </is>
      </c>
      <c r="P30" s="2" t="inlineStr">
        <is>
          <t>REJ</t>
        </is>
      </c>
      <c r="Q30" s="2" t="inlineStr">
        <is>
          <t>Crowd-heavy; overlaps WS-028</t>
        </is>
      </c>
    </row>
    <row r="31">
      <c r="A31" s="2" t="inlineStr">
        <is>
          <t>T030</t>
        </is>
      </c>
      <c r="B31" s="2" t="inlineStr">
        <is>
          <t>Highway gridlock: abandon the car or wait?</t>
        </is>
      </c>
      <c r="C31" s="2" t="inlineStr">
        <is>
          <t>P1</t>
        </is>
      </c>
      <c r="D31" s="2" t="inlineStr">
        <is>
          <t>[J]; [R-S36–S39] spread critique</t>
        </is>
      </c>
      <c r="E31" s="2" t="inlineStr">
        <is>
          <t>E</t>
        </is>
      </c>
      <c r="F31" s="2" t="inlineStr">
        <is>
          <t>4</t>
        </is>
      </c>
      <c r="G31" s="2" t="inlineStr">
        <is>
          <t>4</t>
        </is>
      </c>
      <c r="H31" s="2" t="inlineStr">
        <is>
          <t>3</t>
        </is>
      </c>
      <c r="I31" s="2" t="inlineStr">
        <is>
          <t>4</t>
        </is>
      </c>
      <c r="J31" s="2" t="inlineStr">
        <is>
          <t>3</t>
        </is>
      </c>
      <c r="K31" s="2" t="inlineStr">
        <is>
          <t>3</t>
        </is>
      </c>
      <c r="L31" s="2" t="inlineStr">
        <is>
          <t>2</t>
        </is>
      </c>
      <c r="M31" s="2" t="inlineStr">
        <is>
          <t>4</t>
        </is>
      </c>
      <c r="N31" s="2" t="inlineStr">
        <is>
          <t>3</t>
        </is>
      </c>
      <c r="O31" s="2" t="inlineStr">
        <is>
          <t>68.3</t>
        </is>
      </c>
      <c r="P31" s="2" t="inlineStr">
        <is>
          <t>DEF</t>
        </is>
      </c>
      <c r="Q31" s="2" t="inlineStr">
        <is>
          <t>Overlaps WS-029 'walk or wait'</t>
        </is>
      </c>
    </row>
    <row r="32">
      <c r="A32" s="2" t="inlineStr">
        <is>
          <t>T031</t>
        </is>
      </c>
      <c r="B32" s="2" t="inlineStr">
        <is>
          <t>Prepper bunker: a knock on the hatch on day 12</t>
        </is>
      </c>
      <c r="C32" s="2" t="inlineStr">
        <is>
          <t>P1</t>
        </is>
      </c>
      <c r="D32" s="2" t="inlineStr">
        <is>
          <t>[R-S38] bunker choice in hiding debate; [R-S49]</t>
        </is>
      </c>
      <c r="E32" s="2" t="inlineStr">
        <is>
          <t>E</t>
        </is>
      </c>
      <c r="F32" s="2" t="inlineStr">
        <is>
          <t>4</t>
        </is>
      </c>
      <c r="G32" s="2" t="inlineStr">
        <is>
          <t>5</t>
        </is>
      </c>
      <c r="H32" s="2" t="inlineStr">
        <is>
          <t>4</t>
        </is>
      </c>
      <c r="I32" s="2" t="inlineStr">
        <is>
          <t>3</t>
        </is>
      </c>
      <c r="J32" s="2" t="inlineStr">
        <is>
          <t>4</t>
        </is>
      </c>
      <c r="K32" s="2" t="inlineStr">
        <is>
          <t>4</t>
        </is>
      </c>
      <c r="L32" s="2" t="inlineStr">
        <is>
          <t>4</t>
        </is>
      </c>
      <c r="M32" s="2" t="inlineStr">
        <is>
          <t>5</t>
        </is>
      </c>
      <c r="N32" s="2" t="inlineStr">
        <is>
          <t>5</t>
        </is>
      </c>
      <c r="O32" s="2" t="inlineStr">
        <is>
          <t>84.9</t>
        </is>
      </c>
      <c r="P32" s="2" t="inlineStr">
        <is>
          <t>R03</t>
        </is>
      </c>
      <c r="Q32" s="2" t="inlineStr">
        <is>
          <t>Reserve; very cheap single set</t>
        </is>
      </c>
    </row>
    <row r="33">
      <c r="A33" s="2" t="inlineStr">
        <is>
          <t>T032</t>
        </is>
      </c>
      <c r="B33" s="2" t="inlineStr">
        <is>
          <t>Space station crew watches from orbit</t>
        </is>
      </c>
      <c r="C33" s="2" t="inlineStr">
        <is>
          <t>P1</t>
        </is>
      </c>
      <c r="D33" s="2" t="inlineStr">
        <is>
          <t>[J]</t>
        </is>
      </c>
      <c r="E33" s="2" t="inlineStr">
        <is>
          <t>S</t>
        </is>
      </c>
      <c r="F33" s="2" t="inlineStr">
        <is>
          <t>3</t>
        </is>
      </c>
      <c r="G33" s="2" t="inlineStr">
        <is>
          <t>4</t>
        </is>
      </c>
      <c r="H33" s="2" t="inlineStr">
        <is>
          <t>3</t>
        </is>
      </c>
      <c r="I33" s="2" t="inlineStr">
        <is>
          <t>4</t>
        </is>
      </c>
      <c r="J33" s="2" t="inlineStr">
        <is>
          <t>4</t>
        </is>
      </c>
      <c r="K33" s="2" t="inlineStr">
        <is>
          <t>3</t>
        </is>
      </c>
      <c r="L33" s="2" t="inlineStr">
        <is>
          <t>1</t>
        </is>
      </c>
      <c r="M33" s="2" t="inlineStr">
        <is>
          <t>3</t>
        </is>
      </c>
      <c r="N33" s="2" t="inlineStr">
        <is>
          <t>2</t>
        </is>
      </c>
      <c r="O33" s="2" t="inlineStr">
        <is>
          <t>62.0</t>
        </is>
      </c>
      <c r="P33" s="2" t="inlineStr">
        <is>
          <t>REJ</t>
        </is>
      </c>
      <c r="Q33" s="2" t="inlineStr">
        <is>
          <t>Weak relevance; expensive</t>
        </is>
      </c>
    </row>
    <row r="34">
      <c r="A34" s="2" t="inlineStr">
        <is>
          <t>T033</t>
        </is>
      </c>
      <c r="B34" s="2" t="inlineStr">
        <is>
          <t>Remote lighthouse/cabin: one road in</t>
        </is>
      </c>
      <c r="C34" s="2" t="inlineStr">
        <is>
          <t>P1</t>
        </is>
      </c>
      <c r="D34" s="2" t="inlineStr">
        <is>
          <t>[J]</t>
        </is>
      </c>
      <c r="E34" s="2" t="inlineStr">
        <is>
          <t>E</t>
        </is>
      </c>
      <c r="F34" s="2" t="inlineStr">
        <is>
          <t>3</t>
        </is>
      </c>
      <c r="G34" s="2" t="inlineStr">
        <is>
          <t>3</t>
        </is>
      </c>
      <c r="H34" s="2" t="inlineStr">
        <is>
          <t>3</t>
        </is>
      </c>
      <c r="I34" s="2" t="inlineStr">
        <is>
          <t>4</t>
        </is>
      </c>
      <c r="J34" s="2" t="inlineStr">
        <is>
          <t>3</t>
        </is>
      </c>
      <c r="K34" s="2" t="inlineStr">
        <is>
          <t>3</t>
        </is>
      </c>
      <c r="L34" s="2" t="inlineStr">
        <is>
          <t>1</t>
        </is>
      </c>
      <c r="M34" s="2" t="inlineStr">
        <is>
          <t>4</t>
        </is>
      </c>
      <c r="N34" s="2" t="inlineStr">
        <is>
          <t>3</t>
        </is>
      </c>
      <c r="O34" s="2" t="inlineStr">
        <is>
          <t>61.0</t>
        </is>
      </c>
      <c r="P34" s="2" t="inlineStr">
        <is>
          <t>DEF</t>
        </is>
      </c>
      <c r="Q34" s="2" t="inlineStr">
        <is>
          <t>Folded into December 'Long Winter' bridge</t>
        </is>
      </c>
    </row>
    <row r="35">
      <c r="A35" s="2" t="inlineStr">
        <is>
          <t>T034</t>
        </is>
      </c>
      <c r="B35" s="2" t="inlineStr">
        <is>
          <t>Elevator between floors as it begins</t>
        </is>
      </c>
      <c r="C35" s="2" t="inlineStr">
        <is>
          <t>P1</t>
        </is>
      </c>
      <c r="D35" s="2" t="inlineStr">
        <is>
          <t>[J]; real elevator facts [LEDGER C-1901/1902]</t>
        </is>
      </c>
      <c r="E35" s="2" t="inlineStr">
        <is>
          <t>E</t>
        </is>
      </c>
      <c r="F35" s="2" t="inlineStr">
        <is>
          <t>4</t>
        </is>
      </c>
      <c r="G35" s="2" t="inlineStr">
        <is>
          <t>5</t>
        </is>
      </c>
      <c r="H35" s="2" t="inlineStr">
        <is>
          <t>4</t>
        </is>
      </c>
      <c r="I35" s="2" t="inlineStr">
        <is>
          <t>3</t>
        </is>
      </c>
      <c r="J35" s="2" t="inlineStr">
        <is>
          <t>4</t>
        </is>
      </c>
      <c r="K35" s="2" t="inlineStr">
        <is>
          <t>4</t>
        </is>
      </c>
      <c r="L35" s="2" t="inlineStr">
        <is>
          <t>3</t>
        </is>
      </c>
      <c r="M35" s="2" t="inlineStr">
        <is>
          <t>5</t>
        </is>
      </c>
      <c r="N35" s="2" t="inlineStr">
        <is>
          <t>5</t>
        </is>
      </c>
      <c r="O35" s="2" t="inlineStr">
        <is>
          <t>83.4</t>
        </is>
      </c>
      <c r="P35" s="2" t="inlineStr">
        <is>
          <t>WS-019</t>
        </is>
      </c>
      <c r="Q35" s="2" t="inlineStr">
        <is>
          <t>Selected; cheap</t>
        </is>
      </c>
    </row>
    <row r="36">
      <c r="A36" s="2" t="inlineStr">
        <is>
          <t>T035</t>
        </is>
      </c>
      <c r="B36" s="2" t="inlineStr">
        <is>
          <t>Quarantine checkpoint: scanner says you're infected</t>
        </is>
      </c>
      <c r="C36" s="2" t="inlineStr">
        <is>
          <t>P1</t>
        </is>
      </c>
      <c r="D36" s="2" t="inlineStr">
        <is>
          <t>[J]</t>
        </is>
      </c>
      <c r="E36" s="2" t="inlineStr">
        <is>
          <t>E</t>
        </is>
      </c>
      <c r="F36" s="2" t="inlineStr">
        <is>
          <t>3</t>
        </is>
      </c>
      <c r="G36" s="2" t="inlineStr">
        <is>
          <t>4</t>
        </is>
      </c>
      <c r="H36" s="2" t="inlineStr">
        <is>
          <t>4</t>
        </is>
      </c>
      <c r="I36" s="2" t="inlineStr">
        <is>
          <t>3</t>
        </is>
      </c>
      <c r="J36" s="2" t="inlineStr">
        <is>
          <t>2</t>
        </is>
      </c>
      <c r="K36" s="2" t="inlineStr">
        <is>
          <t>3</t>
        </is>
      </c>
      <c r="L36" s="2" t="inlineStr">
        <is>
          <t>1</t>
        </is>
      </c>
      <c r="M36" s="2" t="inlineStr">
        <is>
          <t>4</t>
        </is>
      </c>
      <c r="N36" s="2" t="inlineStr">
        <is>
          <t>3</t>
        </is>
      </c>
      <c r="O36" s="2" t="inlineStr">
        <is>
          <t>62.4</t>
        </is>
      </c>
      <c r="P36" s="2" t="inlineStr">
        <is>
          <t>REJ</t>
        </is>
      </c>
      <c r="Q36" s="2" t="inlineStr">
        <is>
          <t>Derivative of a famous game/TV setting</t>
        </is>
      </c>
    </row>
    <row r="37">
      <c r="A37" s="2" t="inlineStr">
        <is>
          <t>T036</t>
        </is>
      </c>
      <c r="B37" s="2" t="inlineStr">
        <is>
          <t>Gym: strongest people, weakest (glass) walls</t>
        </is>
      </c>
      <c r="C37" s="2" t="inlineStr">
        <is>
          <t>P1</t>
        </is>
      </c>
      <c r="D37" s="2" t="inlineStr">
        <is>
          <t>[J]</t>
        </is>
      </c>
      <c r="E37" s="2" t="inlineStr">
        <is>
          <t>Jan</t>
        </is>
      </c>
      <c r="F37" s="2" t="inlineStr">
        <is>
          <t>3</t>
        </is>
      </c>
      <c r="G37" s="2" t="inlineStr">
        <is>
          <t>3</t>
        </is>
      </c>
      <c r="H37" s="2" t="inlineStr">
        <is>
          <t>3</t>
        </is>
      </c>
      <c r="I37" s="2" t="inlineStr">
        <is>
          <t>3</t>
        </is>
      </c>
      <c r="J37" s="2" t="inlineStr">
        <is>
          <t>3</t>
        </is>
      </c>
      <c r="K37" s="2" t="inlineStr">
        <is>
          <t>3</t>
        </is>
      </c>
      <c r="L37" s="2" t="inlineStr">
        <is>
          <t>1</t>
        </is>
      </c>
      <c r="M37" s="2" t="inlineStr">
        <is>
          <t>4</t>
        </is>
      </c>
      <c r="N37" s="2" t="inlineStr">
        <is>
          <t>3</t>
        </is>
      </c>
      <c r="O37" s="2" t="inlineStr">
        <is>
          <t>59.0</t>
        </is>
      </c>
      <c r="P37" s="2" t="inlineStr">
        <is>
          <t>DEF</t>
        </is>
      </c>
      <c r="Q37" s="2" t="inlineStr">
        <is>
          <t>Seasonal for January</t>
        </is>
      </c>
    </row>
    <row r="38">
      <c r="A38" s="2" t="inlineStr">
        <is>
          <t>T037</t>
        </is>
      </c>
      <c r="B38" s="2" t="inlineStr">
        <is>
          <t>Timed crossing puzzle: 4 survivors, 17 minutes (TED-Ed-style)</t>
        </is>
      </c>
      <c r="C38" s="2" t="inlineStr">
        <is>
          <t>P1</t>
        </is>
      </c>
      <c r="D38" s="2" t="inlineStr">
        <is>
          <t>[R-S15/16] TED-Ed bridge riddle ~24M plays</t>
        </is>
      </c>
      <c r="E38" s="2" t="inlineStr">
        <is>
          <t>E</t>
        </is>
      </c>
      <c r="F38" s="2" t="inlineStr">
        <is>
          <t>5</t>
        </is>
      </c>
      <c r="G38" s="2" t="inlineStr">
        <is>
          <t>5</t>
        </is>
      </c>
      <c r="H38" s="2" t="inlineStr">
        <is>
          <t>4</t>
        </is>
      </c>
      <c r="I38" s="2" t="inlineStr">
        <is>
          <t>3</t>
        </is>
      </c>
      <c r="J38" s="2" t="inlineStr">
        <is>
          <t>1</t>
        </is>
      </c>
      <c r="K38" s="2" t="inlineStr">
        <is>
          <t>4</t>
        </is>
      </c>
      <c r="L38" s="2" t="inlineStr">
        <is>
          <t>5</t>
        </is>
      </c>
      <c r="M38" s="2" t="inlineStr">
        <is>
          <t>4</t>
        </is>
      </c>
      <c r="N38" s="2" t="inlineStr">
        <is>
          <t>4</t>
        </is>
      </c>
      <c r="O38" s="2" t="inlineStr">
        <is>
          <t>79.5</t>
        </is>
      </c>
      <c r="P38" s="2" t="inlineStr">
        <is>
          <t>R05</t>
        </is>
      </c>
      <c r="Q38" s="2" t="inlineStr">
        <is>
          <t>Reserve ONLY as an original puzzle mechanic (not the bridge-and-torch riddle)</t>
        </is>
      </c>
    </row>
    <row r="39">
      <c r="A39" s="2" t="inlineStr">
        <is>
          <t>T038</t>
        </is>
      </c>
      <c r="B39" s="2" t="inlineStr">
        <is>
          <t>Your first move: fortify, flee or find a group (three endings)</t>
        </is>
      </c>
      <c r="C39" s="2" t="inlineStr">
        <is>
          <t>P3</t>
        </is>
      </c>
      <c r="D39" s="2" t="inlineStr">
        <is>
          <t>[R-S32/33] an existing Short asks exactly this</t>
        </is>
      </c>
      <c r="E39" s="2" t="inlineStr">
        <is>
          <t>E</t>
        </is>
      </c>
      <c r="F39" s="2" t="inlineStr">
        <is>
          <t>5</t>
        </is>
      </c>
      <c r="G39" s="2" t="inlineStr">
        <is>
          <t>5</t>
        </is>
      </c>
      <c r="H39" s="2" t="inlineStr">
        <is>
          <t>3</t>
        </is>
      </c>
      <c r="I39" s="2" t="inlineStr">
        <is>
          <t>3</t>
        </is>
      </c>
      <c r="J39" s="2" t="inlineStr">
        <is>
          <t>3</t>
        </is>
      </c>
      <c r="K39" s="2" t="inlineStr">
        <is>
          <t>4</t>
        </is>
      </c>
      <c r="L39" s="2" t="inlineStr">
        <is>
          <t>4</t>
        </is>
      </c>
      <c r="M39" s="2" t="inlineStr">
        <is>
          <t>5</t>
        </is>
      </c>
      <c r="N39" s="2" t="inlineStr">
        <is>
          <t>4</t>
        </is>
      </c>
      <c r="O39" s="2" t="inlineStr">
        <is>
          <t>81.5</t>
        </is>
      </c>
      <c r="P39" s="2" t="inlineStr">
        <is>
          <t>R06</t>
        </is>
      </c>
      <c r="Q39" s="2" t="inlineStr">
        <is>
          <t>Reserve (three-ending variant of Both Endings)</t>
        </is>
      </c>
    </row>
    <row r="40">
      <c r="A40" s="2" t="inlineStr">
        <is>
          <t>T039</t>
        </is>
      </c>
      <c r="B40" s="2" t="inlineStr">
        <is>
          <t>Seven days of warning: leave the city or lock down? (Both Endings)</t>
        </is>
      </c>
      <c r="C40" s="2" t="inlineStr">
        <is>
          <t>P3</t>
        </is>
      </c>
      <c r="D40" s="2" t="inlineStr">
        <is>
          <t>[R-S29] 'TikTok-viral' advance-warning story; [R-S36] Cornell model</t>
        </is>
      </c>
      <c r="E40" s="2" t="inlineStr">
        <is>
          <t>E</t>
        </is>
      </c>
      <c r="F40" s="2" t="inlineStr">
        <is>
          <t>4</t>
        </is>
      </c>
      <c r="G40" s="2" t="inlineStr">
        <is>
          <t>5</t>
        </is>
      </c>
      <c r="H40" s="2" t="inlineStr">
        <is>
          <t>4</t>
        </is>
      </c>
      <c r="I40" s="2" t="inlineStr">
        <is>
          <t>4</t>
        </is>
      </c>
      <c r="J40" s="2" t="inlineStr">
        <is>
          <t>4</t>
        </is>
      </c>
      <c r="K40" s="2" t="inlineStr">
        <is>
          <t>4</t>
        </is>
      </c>
      <c r="L40" s="2" t="inlineStr">
        <is>
          <t>4</t>
        </is>
      </c>
      <c r="M40" s="2" t="inlineStr">
        <is>
          <t>5</t>
        </is>
      </c>
      <c r="N40" s="2" t="inlineStr">
        <is>
          <t>4</t>
        </is>
      </c>
      <c r="O40" s="2" t="inlineStr">
        <is>
          <t>84.9</t>
        </is>
      </c>
      <c r="P40" s="2" t="inlineStr">
        <is>
          <t>WS-014</t>
        </is>
      </c>
      <c r="Q40" s="2" t="inlineStr">
        <is>
          <t>Selected</t>
        </is>
      </c>
    </row>
    <row r="41">
      <c r="A41" s="2" t="inlineStr">
        <is>
          <t>T040</t>
        </is>
      </c>
      <c r="B41" s="2" t="inlineStr">
        <is>
          <t>You vs a 1,000-zombie horde</t>
        </is>
      </c>
      <c r="C41" s="2" t="inlineStr">
        <is>
          <t>P1</t>
        </is>
      </c>
      <c r="D41" s="2" t="inlineStr">
        <is>
          <t>[R-S12] title exists</t>
        </is>
      </c>
      <c r="E41" s="2" t="inlineStr">
        <is>
          <t>E</t>
        </is>
      </c>
      <c r="F41" s="2" t="inlineStr">
        <is>
          <t>4</t>
        </is>
      </c>
      <c r="G41" s="2" t="inlineStr">
        <is>
          <t>4</t>
        </is>
      </c>
      <c r="H41" s="2" t="inlineStr">
        <is>
          <t>2</t>
        </is>
      </c>
      <c r="I41" s="2" t="inlineStr">
        <is>
          <t>4</t>
        </is>
      </c>
      <c r="J41" s="2" t="inlineStr">
        <is>
          <t>1</t>
        </is>
      </c>
      <c r="K41" s="2" t="inlineStr">
        <is>
          <t>2</t>
        </is>
      </c>
      <c r="L41" s="2" t="inlineStr">
        <is>
          <t>3</t>
        </is>
      </c>
      <c r="M41" s="2" t="inlineStr">
        <is>
          <t>2</t>
        </is>
      </c>
      <c r="N41" s="2" t="inlineStr">
        <is>
          <t>2</t>
        </is>
      </c>
      <c r="O41" s="2" t="inlineStr">
        <is>
          <t>55.1</t>
        </is>
      </c>
      <c r="P41" s="2" t="inlineStr">
        <is>
          <t>REJ</t>
        </is>
      </c>
      <c r="Q41" s="2" t="inlineStr">
        <is>
          <t>Combat/numbers spectacle; off-brand; derivative title</t>
        </is>
      </c>
    </row>
    <row r="42">
      <c r="A42" s="2" t="inlineStr">
        <is>
          <t>T041</t>
        </is>
      </c>
      <c r="B42" s="2" t="inlineStr">
        <is>
          <t>Would you survive? five questions to day 30</t>
        </is>
      </c>
      <c r="C42" s="2" t="inlineStr">
        <is>
          <t>P1</t>
        </is>
      </c>
      <c r="D42" s="2" t="inlineStr">
        <is>
          <t>[R-S11][R-S32][R-S42] recurring formula</t>
        </is>
      </c>
      <c r="E42" s="2" t="inlineStr">
        <is>
          <t>E</t>
        </is>
      </c>
      <c r="F42" s="2" t="inlineStr">
        <is>
          <t>4</t>
        </is>
      </c>
      <c r="G42" s="2" t="inlineStr">
        <is>
          <t>4</t>
        </is>
      </c>
      <c r="H42" s="2" t="inlineStr">
        <is>
          <t>2</t>
        </is>
      </c>
      <c r="I42" s="2" t="inlineStr">
        <is>
          <t>3</t>
        </is>
      </c>
      <c r="J42" s="2" t="inlineStr">
        <is>
          <t>2</t>
        </is>
      </c>
      <c r="K42" s="2" t="inlineStr">
        <is>
          <t>3</t>
        </is>
      </c>
      <c r="L42" s="2" t="inlineStr">
        <is>
          <t>4</t>
        </is>
      </c>
      <c r="M42" s="2" t="inlineStr">
        <is>
          <t>4</t>
        </is>
      </c>
      <c r="N42" s="2" t="inlineStr">
        <is>
          <t>4</t>
        </is>
      </c>
      <c r="O42" s="2" t="inlineStr">
        <is>
          <t>66.8</t>
        </is>
      </c>
      <c r="P42" s="2" t="inlineStr">
        <is>
          <t>DEF</t>
        </is>
      </c>
      <c r="Q42" s="2" t="inlineStr">
        <is>
          <t>Quiz format; test in month 2</t>
        </is>
      </c>
    </row>
    <row r="43">
      <c r="A43" s="2" t="inlineStr">
        <is>
          <t>T042</t>
        </is>
      </c>
      <c r="B43" s="2" t="inlineStr">
        <is>
          <t>Hidden infected: one of five in the safe room was bitten (Mia's POV)</t>
        </is>
      </c>
      <c r="C43" s="2" t="inlineStr">
        <is>
          <t>P1</t>
        </is>
      </c>
      <c r="D43" s="2" t="inlineStr">
        <is>
          <t>[R-S24] ErrorMotion hidden-infected hits</t>
        </is>
      </c>
      <c r="E43" s="2" t="inlineStr">
        <is>
          <t>E</t>
        </is>
      </c>
      <c r="F43" s="2" t="inlineStr">
        <is>
          <t>4</t>
        </is>
      </c>
      <c r="G43" s="2" t="inlineStr">
        <is>
          <t>5</t>
        </is>
      </c>
      <c r="H43" s="2" t="inlineStr">
        <is>
          <t>5</t>
        </is>
      </c>
      <c r="I43" s="2" t="inlineStr">
        <is>
          <t>3</t>
        </is>
      </c>
      <c r="J43" s="2" t="inlineStr">
        <is>
          <t>4</t>
        </is>
      </c>
      <c r="K43" s="2" t="inlineStr">
        <is>
          <t>5</t>
        </is>
      </c>
      <c r="L43" s="2" t="inlineStr">
        <is>
          <t>4</t>
        </is>
      </c>
      <c r="M43" s="2" t="inlineStr">
        <is>
          <t>5</t>
        </is>
      </c>
      <c r="N43" s="2" t="inlineStr">
        <is>
          <t>5</t>
        </is>
      </c>
      <c r="O43" s="2" t="inlineStr">
        <is>
          <t>89.8</t>
        </is>
      </c>
      <c r="P43" s="2" t="inlineStr">
        <is>
          <t>WS-024</t>
        </is>
      </c>
      <c r="Q43" s="2" t="inlineStr">
        <is>
          <t>Selected</t>
        </is>
      </c>
    </row>
    <row r="44">
      <c r="A44" s="2" t="inlineStr">
        <is>
          <t>T043</t>
        </is>
      </c>
      <c r="B44" s="2" t="inlineStr">
        <is>
          <t>How an outbreak could plausibly start (science)</t>
        </is>
      </c>
      <c r="C44" s="2" t="inlineStr">
        <is>
          <t>P3</t>
        </is>
      </c>
      <c r="D44" s="2" t="inlineStr">
        <is>
          <t>[R-S34/35] AsapSCIENCE coverage; [R-S40] hoax risk</t>
        </is>
      </c>
      <c r="E44" s="2" t="inlineStr">
        <is>
          <t>E</t>
        </is>
      </c>
      <c r="F44" s="2" t="inlineStr">
        <is>
          <t>3</t>
        </is>
      </c>
      <c r="G44" s="2" t="inlineStr">
        <is>
          <t>4</t>
        </is>
      </c>
      <c r="H44" s="2" t="inlineStr">
        <is>
          <t>2</t>
        </is>
      </c>
      <c r="I44" s="2" t="inlineStr">
        <is>
          <t>3</t>
        </is>
      </c>
      <c r="J44" s="2" t="inlineStr">
        <is>
          <t>2</t>
        </is>
      </c>
      <c r="K44" s="2" t="inlineStr">
        <is>
          <t>2</t>
        </is>
      </c>
      <c r="L44" s="2" t="inlineStr">
        <is>
          <t>3</t>
        </is>
      </c>
      <c r="M44" s="2" t="inlineStr">
        <is>
          <t>2</t>
        </is>
      </c>
      <c r="N44" s="2" t="inlineStr">
        <is>
          <t>4</t>
        </is>
      </c>
      <c r="O44" s="2" t="inlineStr">
        <is>
          <t>56.1</t>
        </is>
      </c>
      <c r="P44" s="2" t="inlineStr">
        <is>
          <t>REJ</t>
        </is>
      </c>
      <c r="Q44" s="2" t="inlineStr">
        <is>
          <t>Science-explainer drift + hoax risk</t>
        </is>
      </c>
    </row>
    <row r="45">
      <c r="A45" s="2" t="inlineStr">
        <is>
          <t>T044</t>
        </is>
      </c>
      <c r="B45" s="2" t="inlineStr">
        <is>
          <t>Fungal spores, no bites</t>
        </is>
      </c>
      <c r="C45" s="2" t="inlineStr">
        <is>
          <t>P1</t>
        </is>
      </c>
      <c r="D45" s="2" t="inlineStr">
        <is>
          <t>[BK] post-2023 interest</t>
        </is>
      </c>
      <c r="E45" s="2" t="inlineStr">
        <is>
          <t>S</t>
        </is>
      </c>
      <c r="F45" s="2" t="inlineStr">
        <is>
          <t>3</t>
        </is>
      </c>
      <c r="G45" s="2" t="inlineStr">
        <is>
          <t>4</t>
        </is>
      </c>
      <c r="H45" s="2" t="inlineStr">
        <is>
          <t>3</t>
        </is>
      </c>
      <c r="I45" s="2" t="inlineStr">
        <is>
          <t>4</t>
        </is>
      </c>
      <c r="J45" s="2" t="inlineStr">
        <is>
          <t>1</t>
        </is>
      </c>
      <c r="K45" s="2" t="inlineStr">
        <is>
          <t>3</t>
        </is>
      </c>
      <c r="L45" s="2" t="inlineStr">
        <is>
          <t>2</t>
        </is>
      </c>
      <c r="M45" s="2" t="inlineStr">
        <is>
          <t>3</t>
        </is>
      </c>
      <c r="N45" s="2" t="inlineStr">
        <is>
          <t>3</t>
        </is>
      </c>
      <c r="O45" s="2" t="inlineStr">
        <is>
          <t>59.5</t>
        </is>
      </c>
      <c r="P45" s="2" t="inlineStr">
        <is>
          <t>REJ</t>
        </is>
      </c>
      <c r="Q45" s="2" t="inlineStr">
        <is>
          <t>Strong association with an existing franchise</t>
        </is>
      </c>
    </row>
    <row r="46">
      <c r="A46" s="2" t="inlineStr">
        <is>
          <t>T045</t>
        </is>
      </c>
      <c r="B46" s="2" t="inlineStr">
        <is>
          <t>Permafrost 'zombie virus'</t>
        </is>
      </c>
      <c r="C46" s="2" t="inlineStr">
        <is>
          <t>P3</t>
        </is>
      </c>
      <c r="D46" s="2" t="inlineStr">
        <is>
          <t>[BK] news</t>
        </is>
      </c>
      <c r="E46" s="2" t="inlineStr">
        <is>
          <t>S</t>
        </is>
      </c>
      <c r="F46" s="2" t="inlineStr">
        <is>
          <t>3</t>
        </is>
      </c>
      <c r="G46" s="2" t="inlineStr">
        <is>
          <t>4</t>
        </is>
      </c>
      <c r="H46" s="2" t="inlineStr">
        <is>
          <t>2</t>
        </is>
      </c>
      <c r="I46" s="2" t="inlineStr">
        <is>
          <t>3</t>
        </is>
      </c>
      <c r="J46" s="2" t="inlineStr">
        <is>
          <t>2</t>
        </is>
      </c>
      <c r="K46" s="2" t="inlineStr">
        <is>
          <t>2</t>
        </is>
      </c>
      <c r="L46" s="2" t="inlineStr">
        <is>
          <t>2</t>
        </is>
      </c>
      <c r="M46" s="2" t="inlineStr">
        <is>
          <t>2</t>
        </is>
      </c>
      <c r="N46" s="2" t="inlineStr">
        <is>
          <t>3</t>
        </is>
      </c>
      <c r="O46" s="2" t="inlineStr">
        <is>
          <t>52.7</t>
        </is>
      </c>
      <c r="P46" s="2" t="inlineStr">
        <is>
          <t>REJ</t>
        </is>
      </c>
      <c r="Q46" s="2" t="inlineStr">
        <is>
          <t>Health-hoax risk</t>
        </is>
      </c>
    </row>
    <row r="47">
      <c r="A47" s="2" t="inlineStr">
        <is>
          <t>T046</t>
        </is>
      </c>
      <c r="B47" s="2" t="inlineStr">
        <is>
          <t>Outbreak on Leonid night</t>
        </is>
      </c>
      <c r="C47" s="2" t="inlineStr">
        <is>
          <t>P1</t>
        </is>
      </c>
      <c r="D47" s="2" t="inlineStr">
        <is>
          <t>[J]</t>
        </is>
      </c>
      <c r="E47" s="2" t="inlineStr">
        <is>
          <t>L</t>
        </is>
      </c>
      <c r="F47" s="2" t="inlineStr">
        <is>
          <t>3</t>
        </is>
      </c>
      <c r="G47" s="2" t="inlineStr">
        <is>
          <t>4</t>
        </is>
      </c>
      <c r="H47" s="2" t="inlineStr">
        <is>
          <t>3</t>
        </is>
      </c>
      <c r="I47" s="2" t="inlineStr">
        <is>
          <t>4</t>
        </is>
      </c>
      <c r="J47" s="2" t="inlineStr">
        <is>
          <t>3</t>
        </is>
      </c>
      <c r="K47" s="2" t="inlineStr">
        <is>
          <t>3</t>
        </is>
      </c>
      <c r="L47" s="2" t="inlineStr">
        <is>
          <t>1</t>
        </is>
      </c>
      <c r="M47" s="2" t="inlineStr">
        <is>
          <t>4</t>
        </is>
      </c>
      <c r="N47" s="2" t="inlineStr">
        <is>
          <t>3</t>
        </is>
      </c>
      <c r="O47" s="2" t="inlineStr">
        <is>
          <t>63.9</t>
        </is>
      </c>
      <c r="P47" s="2" t="inlineStr">
        <is>
          <t>REJ</t>
        </is>
      </c>
      <c r="Q47" s="2" t="inlineStr">
        <is>
          <t>Would link a harmless meteor shower to danger</t>
        </is>
      </c>
    </row>
    <row r="48">
      <c r="A48" s="2" t="inlineStr">
        <is>
          <t>T047</t>
        </is>
      </c>
      <c r="B48" s="2" t="inlineStr">
        <is>
          <t>The night clocks fall back: dark at 5 p.m.</t>
        </is>
      </c>
      <c r="C48" s="2" t="inlineStr">
        <is>
          <t>P1</t>
        </is>
      </c>
      <c r="D48" s="2" t="inlineStr">
        <is>
          <t>[J]</t>
        </is>
      </c>
      <c r="E48" s="2" t="inlineStr">
        <is>
          <t>D</t>
        </is>
      </c>
      <c r="F48" s="2" t="inlineStr">
        <is>
          <t>2</t>
        </is>
      </c>
      <c r="G48" s="2" t="inlineStr">
        <is>
          <t>3</t>
        </is>
      </c>
      <c r="H48" s="2" t="inlineStr">
        <is>
          <t>2</t>
        </is>
      </c>
      <c r="I48" s="2" t="inlineStr">
        <is>
          <t>3</t>
        </is>
      </c>
      <c r="J48" s="2" t="inlineStr">
        <is>
          <t>3</t>
        </is>
      </c>
      <c r="K48" s="2" t="inlineStr">
        <is>
          <t>2</t>
        </is>
      </c>
      <c r="L48" s="2" t="inlineStr">
        <is>
          <t>1</t>
        </is>
      </c>
      <c r="M48" s="2" t="inlineStr">
        <is>
          <t>3</t>
        </is>
      </c>
      <c r="N48" s="2" t="inlineStr">
        <is>
          <t>4</t>
        </is>
      </c>
      <c r="O48" s="2" t="inlineStr">
        <is>
          <t>51.2</t>
        </is>
      </c>
      <c r="P48" s="2" t="inlineStr">
        <is>
          <t>REJ</t>
        </is>
      </c>
      <c r="Q48" s="2" t="inlineStr">
        <is>
          <t>Weak premise; used as atmosphere in WS-002 instead</t>
        </is>
      </c>
    </row>
    <row r="49">
      <c r="A49" s="2" t="inlineStr">
        <is>
          <t>T048</t>
        </is>
      </c>
      <c r="B49" s="2" t="inlineStr">
        <is>
          <t>Blizzard + zombies: do they freeze?</t>
        </is>
      </c>
      <c r="C49" s="2" t="inlineStr">
        <is>
          <t>P1</t>
        </is>
      </c>
      <c r="D49" s="2" t="inlineStr">
        <is>
          <t>[J]</t>
        </is>
      </c>
      <c r="E49" s="2" t="inlineStr">
        <is>
          <t>W</t>
        </is>
      </c>
      <c r="F49" s="2" t="inlineStr">
        <is>
          <t>3</t>
        </is>
      </c>
      <c r="G49" s="2" t="inlineStr">
        <is>
          <t>4</t>
        </is>
      </c>
      <c r="H49" s="2" t="inlineStr">
        <is>
          <t>3</t>
        </is>
      </c>
      <c r="I49" s="2" t="inlineStr">
        <is>
          <t>4</t>
        </is>
      </c>
      <c r="J49" s="2" t="inlineStr">
        <is>
          <t>3</t>
        </is>
      </c>
      <c r="K49" s="2" t="inlineStr">
        <is>
          <t>3</t>
        </is>
      </c>
      <c r="L49" s="2" t="inlineStr">
        <is>
          <t>1</t>
        </is>
      </c>
      <c r="M49" s="2" t="inlineStr">
        <is>
          <t>4</t>
        </is>
      </c>
      <c r="N49" s="2" t="inlineStr">
        <is>
          <t>3</t>
        </is>
      </c>
      <c r="O49" s="2" t="inlineStr">
        <is>
          <t>63.9</t>
        </is>
      </c>
      <c r="P49" s="2" t="inlineStr">
        <is>
          <t>REJ</t>
        </is>
      </c>
      <c r="Q49" s="2" t="inlineStr">
        <is>
          <t>Covered by Station Zero (WR-06)</t>
        </is>
      </c>
    </row>
    <row r="50">
      <c r="A50" s="2" t="inlineStr">
        <is>
          <t>T049</t>
        </is>
      </c>
      <c r="B50" s="2" t="inlineStr">
        <is>
          <t>Day 1,000: what the world looks like after 3 years</t>
        </is>
      </c>
      <c r="C50" s="2" t="inlineStr">
        <is>
          <t>P3</t>
        </is>
      </c>
      <c r="D50" s="2" t="inlineStr">
        <is>
          <t>[J] decay-genre [BK]</t>
        </is>
      </c>
      <c r="E50" s="2" t="inlineStr">
        <is>
          <t>E</t>
        </is>
      </c>
      <c r="F50" s="2" t="inlineStr">
        <is>
          <t>4</t>
        </is>
      </c>
      <c r="G50" s="2" t="inlineStr">
        <is>
          <t>4</t>
        </is>
      </c>
      <c r="H50" s="2" t="inlineStr">
        <is>
          <t>2</t>
        </is>
      </c>
      <c r="I50" s="2" t="inlineStr">
        <is>
          <t>5</t>
        </is>
      </c>
      <c r="J50" s="2" t="inlineStr">
        <is>
          <t>3</t>
        </is>
      </c>
      <c r="K50" s="2" t="inlineStr">
        <is>
          <t>3</t>
        </is>
      </c>
      <c r="L50" s="2" t="inlineStr">
        <is>
          <t>1</t>
        </is>
      </c>
      <c r="M50" s="2" t="inlineStr">
        <is>
          <t>3</t>
        </is>
      </c>
      <c r="N50" s="2" t="inlineStr">
        <is>
          <t>2</t>
        </is>
      </c>
      <c r="O50" s="2" t="inlineStr">
        <is>
          <t>62.4</t>
        </is>
      </c>
      <c r="P50" s="2" t="inlineStr">
        <is>
          <t>DEF</t>
        </is>
      </c>
      <c r="Q50" s="2" t="inlineStr">
        <is>
          <t>World-building; month 2 test</t>
        </is>
      </c>
    </row>
    <row r="51">
      <c r="A51" s="2" t="inlineStr">
        <is>
          <t>T050</t>
        </is>
      </c>
      <c r="B51" s="2" t="inlineStr">
        <is>
          <t>Keep the barking dog or not?</t>
        </is>
      </c>
      <c r="C51" s="2" t="inlineStr">
        <is>
          <t>P1</t>
        </is>
      </c>
      <c r="D51" s="2" t="inlineStr">
        <is>
          <t>[J]</t>
        </is>
      </c>
      <c r="E51" s="2" t="inlineStr">
        <is>
          <t>E</t>
        </is>
      </c>
      <c r="F51" s="2" t="inlineStr">
        <is>
          <t>3</t>
        </is>
      </c>
      <c r="G51" s="2" t="inlineStr">
        <is>
          <t>4</t>
        </is>
      </c>
      <c r="H51" s="2" t="inlineStr">
        <is>
          <t>3</t>
        </is>
      </c>
      <c r="I51" s="2" t="inlineStr">
        <is>
          <t>3</t>
        </is>
      </c>
      <c r="J51" s="2" t="inlineStr">
        <is>
          <t>1</t>
        </is>
      </c>
      <c r="K51" s="2" t="inlineStr">
        <is>
          <t>3</t>
        </is>
      </c>
      <c r="L51" s="2" t="inlineStr">
        <is>
          <t>1</t>
        </is>
      </c>
      <c r="M51" s="2" t="inlineStr">
        <is>
          <t>3</t>
        </is>
      </c>
      <c r="N51" s="2" t="inlineStr">
        <is>
          <t>4</t>
        </is>
      </c>
      <c r="O51" s="2" t="inlineStr">
        <is>
          <t>58.0</t>
        </is>
      </c>
      <c r="P51" s="2" t="inlineStr">
        <is>
          <t>REJ</t>
        </is>
      </c>
      <c r="Q51" s="2" t="inlineStr">
        <is>
          <t>Reference territory (Rusty)</t>
        </is>
      </c>
    </row>
    <row r="52">
      <c r="A52" s="2" t="inlineStr">
        <is>
          <t>T051</t>
        </is>
      </c>
      <c r="B52" s="2" t="inlineStr">
        <is>
          <t>Earthquake: why the doorway is a trap</t>
        </is>
      </c>
      <c r="C52" s="2" t="inlineStr">
        <is>
          <t>P2</t>
        </is>
      </c>
      <c r="D52" s="2" t="inlineStr">
        <is>
          <t>[BK] recurring myth corrections; [LEDGER C-401–404]</t>
        </is>
      </c>
      <c r="E52" s="2" t="inlineStr">
        <is>
          <t>S/E</t>
        </is>
      </c>
      <c r="F52" s="2" t="inlineStr">
        <is>
          <t>5</t>
        </is>
      </c>
      <c r="G52" s="2" t="inlineStr">
        <is>
          <t>5</t>
        </is>
      </c>
      <c r="H52" s="2" t="inlineStr">
        <is>
          <t>4</t>
        </is>
      </c>
      <c r="I52" s="2" t="inlineStr">
        <is>
          <t>4</t>
        </is>
      </c>
      <c r="J52" s="2" t="inlineStr">
        <is>
          <t>3</t>
        </is>
      </c>
      <c r="K52" s="2" t="inlineStr">
        <is>
          <t>4</t>
        </is>
      </c>
      <c r="L52" s="2" t="inlineStr">
        <is>
          <t>4</t>
        </is>
      </c>
      <c r="M52" s="2" t="inlineStr">
        <is>
          <t>5</t>
        </is>
      </c>
      <c r="N52" s="2" t="inlineStr">
        <is>
          <t>5</t>
        </is>
      </c>
      <c r="O52" s="2" t="inlineStr">
        <is>
          <t>87.8</t>
        </is>
      </c>
      <c r="P52" s="2" t="inlineStr">
        <is>
          <t>WS-004</t>
        </is>
      </c>
      <c r="Q52" s="2" t="inlineStr">
        <is>
          <t>Selected</t>
        </is>
      </c>
    </row>
    <row r="53">
      <c r="A53" s="2" t="inlineStr">
        <is>
          <t>T052</t>
        </is>
      </c>
      <c r="B53" s="2" t="inlineStr">
        <is>
          <t>Tornado on the highway: why the overpass is a death trap</t>
        </is>
      </c>
      <c r="C53" s="2" t="inlineStr">
        <is>
          <t>P2</t>
        </is>
      </c>
      <c r="D53" s="2" t="inlineStr">
        <is>
          <t>[BK]; [LEDGER C-801–804]</t>
        </is>
      </c>
      <c r="E53" s="2" t="inlineStr">
        <is>
          <t>Spring/Nov</t>
        </is>
      </c>
      <c r="F53" s="2" t="inlineStr">
        <is>
          <t>4</t>
        </is>
      </c>
      <c r="G53" s="2" t="inlineStr">
        <is>
          <t>5</t>
        </is>
      </c>
      <c r="H53" s="2" t="inlineStr">
        <is>
          <t>4</t>
        </is>
      </c>
      <c r="I53" s="2" t="inlineStr">
        <is>
          <t>5</t>
        </is>
      </c>
      <c r="J53" s="2" t="inlineStr">
        <is>
          <t>3</t>
        </is>
      </c>
      <c r="K53" s="2" t="inlineStr">
        <is>
          <t>4</t>
        </is>
      </c>
      <c r="L53" s="2" t="inlineStr">
        <is>
          <t>4</t>
        </is>
      </c>
      <c r="M53" s="2" t="inlineStr">
        <is>
          <t>5</t>
        </is>
      </c>
      <c r="N53" s="2" t="inlineStr">
        <is>
          <t>3</t>
        </is>
      </c>
      <c r="O53" s="2" t="inlineStr">
        <is>
          <t>82.9</t>
        </is>
      </c>
      <c r="P53" s="2" t="inlineStr">
        <is>
          <t>WS-008</t>
        </is>
      </c>
      <c r="Q53" s="2" t="inlineStr">
        <is>
          <t>Selected</t>
        </is>
      </c>
    </row>
    <row r="54">
      <c r="A54" s="2" t="inlineStr">
        <is>
          <t>T053</t>
        </is>
      </c>
      <c r="B54" s="2" t="inlineStr">
        <is>
          <t>Flash flood: six inches of water</t>
        </is>
      </c>
      <c r="C54" s="2" t="inlineStr">
        <is>
          <t>P2</t>
        </is>
      </c>
      <c r="D54" s="2" t="inlineStr">
        <is>
          <t>[BK]; [LEDGER C-R201–204]</t>
        </is>
      </c>
      <c r="E54" s="2" t="inlineStr">
        <is>
          <t>S/E</t>
        </is>
      </c>
      <c r="F54" s="2" t="inlineStr">
        <is>
          <t>4</t>
        </is>
      </c>
      <c r="G54" s="2" t="inlineStr">
        <is>
          <t>5</t>
        </is>
      </c>
      <c r="H54" s="2" t="inlineStr">
        <is>
          <t>4</t>
        </is>
      </c>
      <c r="I54" s="2" t="inlineStr">
        <is>
          <t>4</t>
        </is>
      </c>
      <c r="J54" s="2" t="inlineStr">
        <is>
          <t>3</t>
        </is>
      </c>
      <c r="K54" s="2" t="inlineStr">
        <is>
          <t>4</t>
        </is>
      </c>
      <c r="L54" s="2" t="inlineStr">
        <is>
          <t>4</t>
        </is>
      </c>
      <c r="M54" s="2" t="inlineStr">
        <is>
          <t>5</t>
        </is>
      </c>
      <c r="N54" s="2" t="inlineStr">
        <is>
          <t>4</t>
        </is>
      </c>
      <c r="O54" s="2" t="inlineStr">
        <is>
          <t>82.9</t>
        </is>
      </c>
      <c r="P54" s="2" t="inlineStr">
        <is>
          <t>R02</t>
        </is>
      </c>
      <c r="Q54" s="2" t="inlineStr">
        <is>
          <t>Reserve (verified)</t>
        </is>
      </c>
    </row>
    <row r="55">
      <c r="A55" s="2" t="inlineStr">
        <is>
          <t>T054</t>
        </is>
      </c>
      <c r="B55" s="2" t="inlineStr">
        <is>
          <t>Tsunami: the ocean pulls back</t>
        </is>
      </c>
      <c r="C55" s="2" t="inlineStr">
        <is>
          <t>P2</t>
        </is>
      </c>
      <c r="D55" s="2" t="inlineStr">
        <is>
          <t>[BK] 2025 warnings</t>
        </is>
      </c>
      <c r="E55" s="2" t="inlineStr">
        <is>
          <t>S</t>
        </is>
      </c>
      <c r="F55" s="2" t="inlineStr">
        <is>
          <t>4</t>
        </is>
      </c>
      <c r="G55" s="2" t="inlineStr">
        <is>
          <t>5</t>
        </is>
      </c>
      <c r="H55" s="2" t="inlineStr">
        <is>
          <t>4</t>
        </is>
      </c>
      <c r="I55" s="2" t="inlineStr">
        <is>
          <t>5</t>
        </is>
      </c>
      <c r="J55" s="2" t="inlineStr">
        <is>
          <t>3</t>
        </is>
      </c>
      <c r="K55" s="2" t="inlineStr">
        <is>
          <t>4</t>
        </is>
      </c>
      <c r="L55" s="2" t="inlineStr">
        <is>
          <t>2</t>
        </is>
      </c>
      <c r="M55" s="2" t="inlineStr">
        <is>
          <t>5</t>
        </is>
      </c>
      <c r="N55" s="2" t="inlineStr">
        <is>
          <t>3</t>
        </is>
      </c>
      <c r="O55" s="2" t="inlineStr">
        <is>
          <t>80.0</t>
        </is>
      </c>
      <c r="P55" s="2" t="inlineStr">
        <is>
          <t>DEF</t>
        </is>
      </c>
      <c r="Q55" s="2" t="inlineStr">
        <is>
          <t>Facts unverified; month 2 after verification</t>
        </is>
      </c>
    </row>
    <row r="56">
      <c r="A56" s="2" t="inlineStr">
        <is>
          <t>T055</t>
        </is>
      </c>
      <c r="B56" s="2" t="inlineStr">
        <is>
          <t>Wildfire evacuation with one road out</t>
        </is>
      </c>
      <c r="C56" s="2" t="inlineStr">
        <is>
          <t>P2</t>
        </is>
      </c>
      <c r="D56" s="2" t="inlineStr">
        <is>
          <t>[BK] 2025 LA fires; [LEDGER-BLOCK C-2301]</t>
        </is>
      </c>
      <c r="E56" s="2" t="inlineStr">
        <is>
          <t>S</t>
        </is>
      </c>
      <c r="F56" s="2" t="inlineStr">
        <is>
          <t>4</t>
        </is>
      </c>
      <c r="G56" s="2" t="inlineStr">
        <is>
          <t>5</t>
        </is>
      </c>
      <c r="H56" s="2" t="inlineStr">
        <is>
          <t>4</t>
        </is>
      </c>
      <c r="I56" s="2" t="inlineStr">
        <is>
          <t>5</t>
        </is>
      </c>
      <c r="J56" s="2" t="inlineStr">
        <is>
          <t>3</t>
        </is>
      </c>
      <c r="K56" s="2" t="inlineStr">
        <is>
          <t>4</t>
        </is>
      </c>
      <c r="L56" s="2" t="inlineStr">
        <is>
          <t>2</t>
        </is>
      </c>
      <c r="M56" s="2" t="inlineStr">
        <is>
          <t>5</t>
        </is>
      </c>
      <c r="N56" s="2" t="inlineStr">
        <is>
          <t>3</t>
        </is>
      </c>
      <c r="O56" s="2" t="inlineStr">
        <is>
          <t>80.0</t>
        </is>
      </c>
      <c r="P56" s="2" t="inlineStr">
        <is>
          <t>WS-023</t>
        </is>
      </c>
      <c r="Q56" s="2" t="inlineStr">
        <is>
          <t>Selected, conditional on verification (reserve R01/R02)</t>
        </is>
      </c>
    </row>
    <row r="57">
      <c r="A57" s="2" t="inlineStr">
        <is>
          <t>T056</t>
        </is>
      </c>
      <c r="B57" s="2" t="inlineStr">
        <is>
          <t>Blizzard: stranded overnight — walk or wait? (Both Endings)</t>
        </is>
      </c>
      <c r="C57" s="2" t="inlineStr">
        <is>
          <t>P2</t>
        </is>
      </c>
      <c r="D57" s="2" t="inlineStr">
        <is>
          <t>[BK]; [LEDGER-BLOCK C-2901]</t>
        </is>
      </c>
      <c r="E57" s="2" t="inlineStr">
        <is>
          <t>W</t>
        </is>
      </c>
      <c r="F57" s="2" t="inlineStr">
        <is>
          <t>4</t>
        </is>
      </c>
      <c r="G57" s="2" t="inlineStr">
        <is>
          <t>5</t>
        </is>
      </c>
      <c r="H57" s="2" t="inlineStr">
        <is>
          <t>4</t>
        </is>
      </c>
      <c r="I57" s="2" t="inlineStr">
        <is>
          <t>4</t>
        </is>
      </c>
      <c r="J57" s="2" t="inlineStr">
        <is>
          <t>4</t>
        </is>
      </c>
      <c r="K57" s="2" t="inlineStr">
        <is>
          <t>4</t>
        </is>
      </c>
      <c r="L57" s="2" t="inlineStr">
        <is>
          <t>2</t>
        </is>
      </c>
      <c r="M57" s="2" t="inlineStr">
        <is>
          <t>5</t>
        </is>
      </c>
      <c r="N57" s="2" t="inlineStr">
        <is>
          <t>4</t>
        </is>
      </c>
      <c r="O57" s="2" t="inlineStr">
        <is>
          <t>82.0</t>
        </is>
      </c>
      <c r="P57" s="2" t="inlineStr">
        <is>
          <t>WS-029</t>
        </is>
      </c>
      <c r="Q57" s="2" t="inlineStr">
        <is>
          <t>Selected, conditional on verification</t>
        </is>
      </c>
    </row>
    <row r="58">
      <c r="A58" s="2" t="inlineStr">
        <is>
          <t>T057</t>
        </is>
      </c>
      <c r="B58" s="2" t="inlineStr">
        <is>
          <t>Avalanche: the first 15 minutes</t>
        </is>
      </c>
      <c r="C58" s="2" t="inlineStr">
        <is>
          <t>P2</t>
        </is>
      </c>
      <c r="D58" s="2" t="inlineStr">
        <is>
          <t>[BK]; [LEDGER-BLOCK C-2501]</t>
        </is>
      </c>
      <c r="E58" s="2" t="inlineStr">
        <is>
          <t>W</t>
        </is>
      </c>
      <c r="F58" s="2" t="inlineStr">
        <is>
          <t>3</t>
        </is>
      </c>
      <c r="G58" s="2" t="inlineStr">
        <is>
          <t>5</t>
        </is>
      </c>
      <c r="H58" s="2" t="inlineStr">
        <is>
          <t>4</t>
        </is>
      </c>
      <c r="I58" s="2" t="inlineStr">
        <is>
          <t>5</t>
        </is>
      </c>
      <c r="J58" s="2" t="inlineStr">
        <is>
          <t>3</t>
        </is>
      </c>
      <c r="K58" s="2" t="inlineStr">
        <is>
          <t>4</t>
        </is>
      </c>
      <c r="L58" s="2" t="inlineStr">
        <is>
          <t>2</t>
        </is>
      </c>
      <c r="M58" s="2" t="inlineStr">
        <is>
          <t>5</t>
        </is>
      </c>
      <c r="N58" s="2" t="inlineStr">
        <is>
          <t>3</t>
        </is>
      </c>
      <c r="O58" s="2" t="inlineStr">
        <is>
          <t>77.1</t>
        </is>
      </c>
      <c r="P58" s="2" t="inlineStr">
        <is>
          <t>WS-025</t>
        </is>
      </c>
      <c r="Q58" s="2" t="inlineStr">
        <is>
          <t>Selected, conditional on verification</t>
        </is>
      </c>
    </row>
    <row r="59">
      <c r="A59" s="2" t="inlineStr">
        <is>
          <t>T058</t>
        </is>
      </c>
      <c r="B59" s="2" t="inlineStr">
        <is>
          <t>Hurricane: the calm in the eye</t>
        </is>
      </c>
      <c r="C59" s="2" t="inlineStr">
        <is>
          <t>P2</t>
        </is>
      </c>
      <c r="D59" s="2" t="inlineStr">
        <is>
          <t>[BK]</t>
        </is>
      </c>
      <c r="E59" s="2" t="inlineStr">
        <is>
          <t>Jun–Nov</t>
        </is>
      </c>
      <c r="F59" s="2" t="inlineStr">
        <is>
          <t>4</t>
        </is>
      </c>
      <c r="G59" s="2" t="inlineStr">
        <is>
          <t>4</t>
        </is>
      </c>
      <c r="H59" s="2" t="inlineStr">
        <is>
          <t>4</t>
        </is>
      </c>
      <c r="I59" s="2" t="inlineStr">
        <is>
          <t>4</t>
        </is>
      </c>
      <c r="J59" s="2" t="inlineStr">
        <is>
          <t>3</t>
        </is>
      </c>
      <c r="K59" s="2" t="inlineStr">
        <is>
          <t>4</t>
        </is>
      </c>
      <c r="L59" s="2" t="inlineStr">
        <is>
          <t>2</t>
        </is>
      </c>
      <c r="M59" s="2" t="inlineStr">
        <is>
          <t>5</t>
        </is>
      </c>
      <c r="N59" s="2" t="inlineStr">
        <is>
          <t>3</t>
        </is>
      </c>
      <c r="O59" s="2" t="inlineStr">
        <is>
          <t>75.1</t>
        </is>
      </c>
      <c r="P59" s="2" t="inlineStr">
        <is>
          <t>R10</t>
        </is>
      </c>
      <c r="Q59" s="2" t="inlineStr">
        <is>
          <t>Reserve (verify first)</t>
        </is>
      </c>
    </row>
    <row r="60">
      <c r="A60" s="2" t="inlineStr">
        <is>
          <t>T059</t>
        </is>
      </c>
      <c r="B60" s="2" t="inlineStr">
        <is>
          <t>Heat wave + power outage on the top floor</t>
        </is>
      </c>
      <c r="C60" s="2" t="inlineStr">
        <is>
          <t>P2</t>
        </is>
      </c>
      <c r="D60" s="2" t="inlineStr">
        <is>
          <t>[BK]</t>
        </is>
      </c>
      <c r="E60" s="2" t="inlineStr">
        <is>
          <t>Summer</t>
        </is>
      </c>
      <c r="F60" s="2" t="inlineStr">
        <is>
          <t>4</t>
        </is>
      </c>
      <c r="G60" s="2" t="inlineStr">
        <is>
          <t>4</t>
        </is>
      </c>
      <c r="H60" s="2" t="inlineStr">
        <is>
          <t>3</t>
        </is>
      </c>
      <c r="I60" s="2" t="inlineStr">
        <is>
          <t>3</t>
        </is>
      </c>
      <c r="J60" s="2" t="inlineStr">
        <is>
          <t>3</t>
        </is>
      </c>
      <c r="K60" s="2" t="inlineStr">
        <is>
          <t>3</t>
        </is>
      </c>
      <c r="L60" s="2" t="inlineStr">
        <is>
          <t>2</t>
        </is>
      </c>
      <c r="M60" s="2" t="inlineStr">
        <is>
          <t>4</t>
        </is>
      </c>
      <c r="N60" s="2" t="inlineStr">
        <is>
          <t>4</t>
        </is>
      </c>
      <c r="O60" s="2" t="inlineStr">
        <is>
          <t>68.3</t>
        </is>
      </c>
      <c r="P60" s="2" t="inlineStr">
        <is>
          <t>DEF</t>
        </is>
      </c>
      <c r="Q60" s="2" t="inlineStr">
        <is>
          <t>Seasonal (June)</t>
        </is>
      </c>
    </row>
    <row r="61">
      <c r="A61" s="2" t="inlineStr">
        <is>
          <t>T060</t>
        </is>
      </c>
      <c r="B61" s="2" t="inlineStr">
        <is>
          <t>Volcanic ash 30 km away: what actually kills</t>
        </is>
      </c>
      <c r="C61" s="2" t="inlineStr">
        <is>
          <t>P2</t>
        </is>
      </c>
      <c r="D61" s="2" t="inlineStr">
        <is>
          <t>[BK]</t>
        </is>
      </c>
      <c r="E61" s="2" t="inlineStr">
        <is>
          <t>S</t>
        </is>
      </c>
      <c r="F61" s="2" t="inlineStr">
        <is>
          <t>3</t>
        </is>
      </c>
      <c r="G61" s="2" t="inlineStr">
        <is>
          <t>4</t>
        </is>
      </c>
      <c r="H61" s="2" t="inlineStr">
        <is>
          <t>3</t>
        </is>
      </c>
      <c r="I61" s="2" t="inlineStr">
        <is>
          <t>4</t>
        </is>
      </c>
      <c r="J61" s="2" t="inlineStr">
        <is>
          <t>3</t>
        </is>
      </c>
      <c r="K61" s="2" t="inlineStr">
        <is>
          <t>3</t>
        </is>
      </c>
      <c r="L61" s="2" t="inlineStr">
        <is>
          <t>1</t>
        </is>
      </c>
      <c r="M61" s="2" t="inlineStr">
        <is>
          <t>4</t>
        </is>
      </c>
      <c r="N61" s="2" t="inlineStr">
        <is>
          <t>3</t>
        </is>
      </c>
      <c r="O61" s="2" t="inlineStr">
        <is>
          <t>63.9</t>
        </is>
      </c>
      <c r="P61" s="2" t="inlineStr">
        <is>
          <t>DEF</t>
        </is>
      </c>
      <c r="Q61" s="2" t="inlineStr">
        <is>
          <t>Unverified; doom-bait risk</t>
        </is>
      </c>
    </row>
    <row r="62">
      <c r="A62" s="2" t="inlineStr">
        <is>
          <t>T061</t>
        </is>
      </c>
      <c r="B62" s="2" t="inlineStr">
        <is>
          <t>Solar superstorm: the night the sky turned green</t>
        </is>
      </c>
      <c r="C62" s="2" t="inlineStr">
        <is>
          <t>P3</t>
        </is>
      </c>
      <c r="D62" s="2" t="inlineStr">
        <is>
          <t>[BK] May 2024 G5; [LEDGER-BLOCK C-2001]</t>
        </is>
      </c>
      <c r="E62" s="2" t="inlineStr">
        <is>
          <t>S</t>
        </is>
      </c>
      <c r="F62" s="2" t="inlineStr">
        <is>
          <t>4</t>
        </is>
      </c>
      <c r="G62" s="2" t="inlineStr">
        <is>
          <t>5</t>
        </is>
      </c>
      <c r="H62" s="2" t="inlineStr">
        <is>
          <t>4</t>
        </is>
      </c>
      <c r="I62" s="2" t="inlineStr">
        <is>
          <t>5</t>
        </is>
      </c>
      <c r="J62" s="2" t="inlineStr">
        <is>
          <t>4</t>
        </is>
      </c>
      <c r="K62" s="2" t="inlineStr">
        <is>
          <t>4</t>
        </is>
      </c>
      <c r="L62" s="2" t="inlineStr">
        <is>
          <t>2</t>
        </is>
      </c>
      <c r="M62" s="2" t="inlineStr">
        <is>
          <t>5</t>
        </is>
      </c>
      <c r="N62" s="2" t="inlineStr">
        <is>
          <t>3</t>
        </is>
      </c>
      <c r="O62" s="2" t="inlineStr">
        <is>
          <t>82.0</t>
        </is>
      </c>
      <c r="P62" s="2" t="inlineStr">
        <is>
          <t>WS-020</t>
        </is>
      </c>
      <c r="Q62" s="2" t="inlineStr">
        <is>
          <t>Selected, conditional on verification</t>
        </is>
      </c>
    </row>
    <row r="63">
      <c r="A63" s="2" t="inlineStr">
        <is>
          <t>T062</t>
        </is>
      </c>
      <c r="B63" s="2" t="inlineStr">
        <is>
          <t>Nuclear alert: 15 minutes to get inside</t>
        </is>
      </c>
      <c r="C63" s="2" t="inlineStr">
        <is>
          <t>P2</t>
        </is>
      </c>
      <c r="D63" s="2" t="inlineStr">
        <is>
          <t>[BK] 2018 false alert</t>
        </is>
      </c>
      <c r="E63" s="2" t="inlineStr">
        <is>
          <t>S</t>
        </is>
      </c>
      <c r="F63" s="2" t="inlineStr">
        <is>
          <t>4</t>
        </is>
      </c>
      <c r="G63" s="2" t="inlineStr">
        <is>
          <t>5</t>
        </is>
      </c>
      <c r="H63" s="2" t="inlineStr">
        <is>
          <t>4</t>
        </is>
      </c>
      <c r="I63" s="2" t="inlineStr">
        <is>
          <t>4</t>
        </is>
      </c>
      <c r="J63" s="2" t="inlineStr">
        <is>
          <t>3</t>
        </is>
      </c>
      <c r="K63" s="2" t="inlineStr">
        <is>
          <t>4</t>
        </is>
      </c>
      <c r="L63" s="2" t="inlineStr">
        <is>
          <t>1</t>
        </is>
      </c>
      <c r="M63" s="2" t="inlineStr">
        <is>
          <t>4</t>
        </is>
      </c>
      <c r="N63" s="2" t="inlineStr">
        <is>
          <t>3</t>
        </is>
      </c>
      <c r="O63" s="2" t="inlineStr">
        <is>
          <t>74.6</t>
        </is>
      </c>
      <c r="P63" s="2" t="inlineStr">
        <is>
          <t>DEF</t>
        </is>
      </c>
      <c r="Q63" s="2" t="inlineStr">
        <is>
          <t>High-stakes facts unverified; sensitive</t>
        </is>
      </c>
    </row>
    <row r="64">
      <c r="A64" s="2" t="inlineStr">
        <is>
          <t>T063</t>
        </is>
      </c>
      <c r="B64" s="2" t="inlineStr">
        <is>
          <t>Sinking car: about one minute</t>
        </is>
      </c>
      <c r="C64" s="2" t="inlineStr">
        <is>
          <t>P2</t>
        </is>
      </c>
      <c r="D64" s="2" t="inlineStr">
        <is>
          <t>[BK]; [LEDGER C-201–206]</t>
        </is>
      </c>
      <c r="E64" s="2" t="inlineStr">
        <is>
          <t>E</t>
        </is>
      </c>
      <c r="F64" s="2" t="inlineStr">
        <is>
          <t>5</t>
        </is>
      </c>
      <c r="G64" s="2" t="inlineStr">
        <is>
          <t>5</t>
        </is>
      </c>
      <c r="H64" s="2" t="inlineStr">
        <is>
          <t>5</t>
        </is>
      </c>
      <c r="I64" s="2" t="inlineStr">
        <is>
          <t>5</t>
        </is>
      </c>
      <c r="J64" s="2" t="inlineStr">
        <is>
          <t>3</t>
        </is>
      </c>
      <c r="K64" s="2" t="inlineStr">
        <is>
          <t>5</t>
        </is>
      </c>
      <c r="L64" s="2" t="inlineStr">
        <is>
          <t>4</t>
        </is>
      </c>
      <c r="M64" s="2" t="inlineStr">
        <is>
          <t>5</t>
        </is>
      </c>
      <c r="N64" s="2" t="inlineStr">
        <is>
          <t>4</t>
        </is>
      </c>
      <c r="O64" s="2" t="inlineStr">
        <is>
          <t>92.7</t>
        </is>
      </c>
      <c r="P64" s="2" t="inlineStr">
        <is>
          <t>WS-002</t>
        </is>
      </c>
      <c r="Q64" s="2" t="inlineStr">
        <is>
          <t>Selected Day 2</t>
        </is>
      </c>
    </row>
    <row r="65">
      <c r="A65" s="2" t="inlineStr">
        <is>
          <t>T064</t>
        </is>
      </c>
      <c r="B65" s="2" t="inlineStr">
        <is>
          <t>House fire at 3 a.m.: close the door</t>
        </is>
      </c>
      <c r="C65" s="2" t="inlineStr">
        <is>
          <t>P2</t>
        </is>
      </c>
      <c r="D65" s="2" t="inlineStr">
        <is>
          <t>[BK] UL campaign; [LEDGER C-1201–1204]</t>
        </is>
      </c>
      <c r="E65" s="2" t="inlineStr">
        <is>
          <t>W</t>
        </is>
      </c>
      <c r="F65" s="2" t="inlineStr">
        <is>
          <t>5</t>
        </is>
      </c>
      <c r="G65" s="2" t="inlineStr">
        <is>
          <t>5</t>
        </is>
      </c>
      <c r="H65" s="2" t="inlineStr">
        <is>
          <t>4</t>
        </is>
      </c>
      <c r="I65" s="2" t="inlineStr">
        <is>
          <t>4</t>
        </is>
      </c>
      <c r="J65" s="2" t="inlineStr">
        <is>
          <t>3</t>
        </is>
      </c>
      <c r="K65" s="2" t="inlineStr">
        <is>
          <t>4</t>
        </is>
      </c>
      <c r="L65" s="2" t="inlineStr">
        <is>
          <t>4</t>
        </is>
      </c>
      <c r="M65" s="2" t="inlineStr">
        <is>
          <t>5</t>
        </is>
      </c>
      <c r="N65" s="2" t="inlineStr">
        <is>
          <t>4</t>
        </is>
      </c>
      <c r="O65" s="2" t="inlineStr">
        <is>
          <t>85.9</t>
        </is>
      </c>
      <c r="P65" s="2" t="inlineStr">
        <is>
          <t>WS-012</t>
        </is>
      </c>
      <c r="Q65" s="2" t="inlineStr">
        <is>
          <t>Selected</t>
        </is>
      </c>
    </row>
    <row r="66">
      <c r="A66" s="2" t="inlineStr">
        <is>
          <t>T065</t>
        </is>
      </c>
      <c r="B66" s="2" t="inlineStr">
        <is>
          <t>Rip current: don't swim back</t>
        </is>
      </c>
      <c r="C66" s="2" t="inlineStr">
        <is>
          <t>P2</t>
        </is>
      </c>
      <c r="D66" s="2" t="inlineStr">
        <is>
          <t>[BK]; [LEDGER C-1701–1703]</t>
        </is>
      </c>
      <c r="E66" s="2" t="inlineStr">
        <is>
          <t>Summer/E</t>
        </is>
      </c>
      <c r="F66" s="2" t="inlineStr">
        <is>
          <t>4</t>
        </is>
      </c>
      <c r="G66" s="2" t="inlineStr">
        <is>
          <t>5</t>
        </is>
      </c>
      <c r="H66" s="2" t="inlineStr">
        <is>
          <t>4</t>
        </is>
      </c>
      <c r="I66" s="2" t="inlineStr">
        <is>
          <t>4</t>
        </is>
      </c>
      <c r="J66" s="2" t="inlineStr">
        <is>
          <t>3</t>
        </is>
      </c>
      <c r="K66" s="2" t="inlineStr">
        <is>
          <t>4</t>
        </is>
      </c>
      <c r="L66" s="2" t="inlineStr">
        <is>
          <t>4</t>
        </is>
      </c>
      <c r="M66" s="2" t="inlineStr">
        <is>
          <t>5</t>
        </is>
      </c>
      <c r="N66" s="2" t="inlineStr">
        <is>
          <t>4</t>
        </is>
      </c>
      <c r="O66" s="2" t="inlineStr">
        <is>
          <t>82.9</t>
        </is>
      </c>
      <c r="P66" s="2" t="inlineStr">
        <is>
          <t>WS-017</t>
        </is>
      </c>
      <c r="Q66" s="2" t="inlineStr">
        <is>
          <t>Selected</t>
        </is>
      </c>
    </row>
    <row r="67">
      <c r="A67" s="2" t="inlineStr">
        <is>
          <t>T066</t>
        </is>
      </c>
      <c r="B67" s="2" t="inlineStr">
        <is>
          <t>Lost in the woods at dusk: stay put</t>
        </is>
      </c>
      <c r="C67" s="2" t="inlineStr">
        <is>
          <t>P2</t>
        </is>
      </c>
      <c r="D67" s="2" t="inlineStr">
        <is>
          <t>[BK] Hug-a-Tree</t>
        </is>
      </c>
      <c r="E67" s="2" t="inlineStr">
        <is>
          <t>Fall</t>
        </is>
      </c>
      <c r="F67" s="2" t="inlineStr">
        <is>
          <t>4</t>
        </is>
      </c>
      <c r="G67" s="2" t="inlineStr">
        <is>
          <t>4</t>
        </is>
      </c>
      <c r="H67" s="2" t="inlineStr">
        <is>
          <t>3</t>
        </is>
      </c>
      <c r="I67" s="2" t="inlineStr">
        <is>
          <t>4</t>
        </is>
      </c>
      <c r="J67" s="2" t="inlineStr">
        <is>
          <t>3</t>
        </is>
      </c>
      <c r="K67" s="2" t="inlineStr">
        <is>
          <t>3</t>
        </is>
      </c>
      <c r="L67" s="2" t="inlineStr">
        <is>
          <t>2</t>
        </is>
      </c>
      <c r="M67" s="2" t="inlineStr">
        <is>
          <t>4</t>
        </is>
      </c>
      <c r="N67" s="2" t="inlineStr">
        <is>
          <t>4</t>
        </is>
      </c>
      <c r="O67" s="2" t="inlineStr">
        <is>
          <t>70.2</t>
        </is>
      </c>
      <c r="P67" s="2" t="inlineStr">
        <is>
          <t>DEF</t>
        </is>
      </c>
      <c r="Q67" s="2" t="inlineStr">
        <is>
          <t>Facts unverified; month 2</t>
        </is>
      </c>
    </row>
    <row r="68">
      <c r="A68" s="2" t="inlineStr">
        <is>
          <t>T067</t>
        </is>
      </c>
      <c r="B68" s="2" t="inlineStr">
        <is>
          <t>Stuck in an elevator (real): don't pry the doors</t>
        </is>
      </c>
      <c r="C68" s="2" t="inlineStr">
        <is>
          <t>P2</t>
        </is>
      </c>
      <c r="D68" s="2" t="inlineStr">
        <is>
          <t>[LEDGER C-1901/1902]</t>
        </is>
      </c>
      <c r="E68" s="2" t="inlineStr">
        <is>
          <t>E</t>
        </is>
      </c>
      <c r="F68" s="2" t="inlineStr">
        <is>
          <t>3</t>
        </is>
      </c>
      <c r="G68" s="2" t="inlineStr">
        <is>
          <t>4</t>
        </is>
      </c>
      <c r="H68" s="2" t="inlineStr">
        <is>
          <t>2</t>
        </is>
      </c>
      <c r="I68" s="2" t="inlineStr">
        <is>
          <t>3</t>
        </is>
      </c>
      <c r="J68" s="2" t="inlineStr">
        <is>
          <t>3</t>
        </is>
      </c>
      <c r="K68" s="2" t="inlineStr">
        <is>
          <t>3</t>
        </is>
      </c>
      <c r="L68" s="2" t="inlineStr">
        <is>
          <t>4</t>
        </is>
      </c>
      <c r="M68" s="2" t="inlineStr">
        <is>
          <t>4</t>
        </is>
      </c>
      <c r="N68" s="2" t="inlineStr">
        <is>
          <t>5</t>
        </is>
      </c>
      <c r="O68" s="2" t="inlineStr">
        <is>
          <t>67.8</t>
        </is>
      </c>
      <c r="P68" s="2" t="inlineStr">
        <is>
          <t>REJ</t>
        </is>
      </c>
      <c r="Q68" s="2" t="inlineStr">
        <is>
          <t>Merged into WS-019 outbreak version</t>
        </is>
      </c>
    </row>
    <row r="69">
      <c r="A69" s="2" t="inlineStr">
        <is>
          <t>T068</t>
        </is>
      </c>
      <c r="B69" s="2" t="inlineStr">
        <is>
          <t>The generator in the garage (CO during a blackout)</t>
        </is>
      </c>
      <c r="C69" s="2" t="inlineStr">
        <is>
          <t>P2</t>
        </is>
      </c>
      <c r="D69" s="2" t="inlineStr">
        <is>
          <t>[BK] CDC post-storm warnings; [LEDGER C-501–504]</t>
        </is>
      </c>
      <c r="E69" s="2" t="inlineStr">
        <is>
          <t>W</t>
        </is>
      </c>
      <c r="F69" s="2" t="inlineStr">
        <is>
          <t>5</t>
        </is>
      </c>
      <c r="G69" s="2" t="inlineStr">
        <is>
          <t>5</t>
        </is>
      </c>
      <c r="H69" s="2" t="inlineStr">
        <is>
          <t>4</t>
        </is>
      </c>
      <c r="I69" s="2" t="inlineStr">
        <is>
          <t>4</t>
        </is>
      </c>
      <c r="J69" s="2" t="inlineStr">
        <is>
          <t>4</t>
        </is>
      </c>
      <c r="K69" s="2" t="inlineStr">
        <is>
          <t>4</t>
        </is>
      </c>
      <c r="L69" s="2" t="inlineStr">
        <is>
          <t>4</t>
        </is>
      </c>
      <c r="M69" s="2" t="inlineStr">
        <is>
          <t>5</t>
        </is>
      </c>
      <c r="N69" s="2" t="inlineStr">
        <is>
          <t>4</t>
        </is>
      </c>
      <c r="O69" s="2" t="inlineStr">
        <is>
          <t>87.8</t>
        </is>
      </c>
      <c r="P69" s="2" t="inlineStr">
        <is>
          <t>WS-005</t>
        </is>
      </c>
      <c r="Q69" s="2" t="inlineStr">
        <is>
          <t>Selected</t>
        </is>
      </c>
    </row>
    <row r="70">
      <c r="A70" s="2" t="inlineStr">
        <is>
          <t>T069</t>
        </is>
      </c>
      <c r="B70" s="2" t="inlineStr">
        <is>
          <t>Bear encounter: black vs brown</t>
        </is>
      </c>
      <c r="C70" s="2" t="inlineStr">
        <is>
          <t>P2</t>
        </is>
      </c>
      <c r="D70" s="2" t="inlineStr">
        <is>
          <t>[BK] 2024 'man vs bear' debate</t>
        </is>
      </c>
      <c r="E70" s="2" t="inlineStr">
        <is>
          <t>E</t>
        </is>
      </c>
      <c r="F70" s="2" t="inlineStr">
        <is>
          <t>4</t>
        </is>
      </c>
      <c r="G70" s="2" t="inlineStr">
        <is>
          <t>5</t>
        </is>
      </c>
      <c r="H70" s="2" t="inlineStr">
        <is>
          <t>3</t>
        </is>
      </c>
      <c r="I70" s="2" t="inlineStr">
        <is>
          <t>4</t>
        </is>
      </c>
      <c r="J70" s="2" t="inlineStr">
        <is>
          <t>3</t>
        </is>
      </c>
      <c r="K70" s="2" t="inlineStr">
        <is>
          <t>3</t>
        </is>
      </c>
      <c r="L70" s="2" t="inlineStr">
        <is>
          <t>2</t>
        </is>
      </c>
      <c r="M70" s="2" t="inlineStr">
        <is>
          <t>4</t>
        </is>
      </c>
      <c r="N70" s="2" t="inlineStr">
        <is>
          <t>3</t>
        </is>
      </c>
      <c r="O70" s="2" t="inlineStr">
        <is>
          <t>71.2</t>
        </is>
      </c>
      <c r="P70" s="2" t="inlineStr">
        <is>
          <t>DEF</t>
        </is>
      </c>
      <c r="Q70" s="2" t="inlineStr">
        <is>
          <t>Facts unverified</t>
        </is>
      </c>
    </row>
    <row r="71">
      <c r="A71" s="2" t="inlineStr">
        <is>
          <t>T070</t>
        </is>
      </c>
      <c r="B71" s="2" t="inlineStr">
        <is>
          <t>Falling through ice: turn back the way you came</t>
        </is>
      </c>
      <c r="C71" s="2" t="inlineStr">
        <is>
          <t>P2</t>
        </is>
      </c>
      <c r="D71" s="2" t="inlineStr">
        <is>
          <t>[BK]; [LEDGER C-2101–2103]</t>
        </is>
      </c>
      <c r="E71" s="2" t="inlineStr">
        <is>
          <t>W</t>
        </is>
      </c>
      <c r="F71" s="2" t="inlineStr">
        <is>
          <t>4</t>
        </is>
      </c>
      <c r="G71" s="2" t="inlineStr">
        <is>
          <t>5</t>
        </is>
      </c>
      <c r="H71" s="2" t="inlineStr">
        <is>
          <t>4</t>
        </is>
      </c>
      <c r="I71" s="2" t="inlineStr">
        <is>
          <t>4</t>
        </is>
      </c>
      <c r="J71" s="2" t="inlineStr">
        <is>
          <t>3</t>
        </is>
      </c>
      <c r="K71" s="2" t="inlineStr">
        <is>
          <t>4</t>
        </is>
      </c>
      <c r="L71" s="2" t="inlineStr">
        <is>
          <t>4</t>
        </is>
      </c>
      <c r="M71" s="2" t="inlineStr">
        <is>
          <t>5</t>
        </is>
      </c>
      <c r="N71" s="2" t="inlineStr">
        <is>
          <t>4</t>
        </is>
      </c>
      <c r="O71" s="2" t="inlineStr">
        <is>
          <t>82.9</t>
        </is>
      </c>
      <c r="P71" s="2" t="inlineStr">
        <is>
          <t>WS-021</t>
        </is>
      </c>
      <c r="Q71" s="2" t="inlineStr">
        <is>
          <t>Selected</t>
        </is>
      </c>
    </row>
    <row r="72">
      <c r="A72" s="2" t="inlineStr">
        <is>
          <t>T071</t>
        </is>
      </c>
      <c r="B72" s="2" t="inlineStr">
        <is>
          <t>Turkey-fryer fire on Thanksgiving</t>
        </is>
      </c>
      <c r="C72" s="2" t="inlineStr">
        <is>
          <t>P2</t>
        </is>
      </c>
      <c r="D72" s="2" t="inlineStr">
        <is>
          <t>[BK] NFPA peak-day claim (verify); [LEDGER-BLOCK C-2701]</t>
        </is>
      </c>
      <c r="E72" s="2" t="inlineStr">
        <is>
          <t>T</t>
        </is>
      </c>
      <c r="F72" s="2" t="inlineStr">
        <is>
          <t>4</t>
        </is>
      </c>
      <c r="G72" s="2" t="inlineStr">
        <is>
          <t>5</t>
        </is>
      </c>
      <c r="H72" s="2" t="inlineStr">
        <is>
          <t>3</t>
        </is>
      </c>
      <c r="I72" s="2" t="inlineStr">
        <is>
          <t>4</t>
        </is>
      </c>
      <c r="J72" s="2" t="inlineStr">
        <is>
          <t>3</t>
        </is>
      </c>
      <c r="K72" s="2" t="inlineStr">
        <is>
          <t>4</t>
        </is>
      </c>
      <c r="L72" s="2" t="inlineStr">
        <is>
          <t>2</t>
        </is>
      </c>
      <c r="M72" s="2" t="inlineStr">
        <is>
          <t>4</t>
        </is>
      </c>
      <c r="N72" s="2" t="inlineStr">
        <is>
          <t>4</t>
        </is>
      </c>
      <c r="O72" s="2" t="inlineStr">
        <is>
          <t>75.6</t>
        </is>
      </c>
      <c r="P72" s="2" t="inlineStr">
        <is>
          <t>WS-027</t>
        </is>
      </c>
      <c r="Q72" s="2" t="inlineStr">
        <is>
          <t>Selected, conditional on verification</t>
        </is>
      </c>
    </row>
    <row r="73">
      <c r="A73" s="2" t="inlineStr">
        <is>
          <t>T072</t>
        </is>
      </c>
      <c r="B73" s="2" t="inlineStr">
        <is>
          <t>Black Friday crowd surge: stay on your feet</t>
        </is>
      </c>
      <c r="C73" s="2" t="inlineStr">
        <is>
          <t>P2</t>
        </is>
      </c>
      <c r="D73" s="2" t="inlineStr">
        <is>
          <t>[BK]; [LEDGER-BLOCK C-2801]</t>
        </is>
      </c>
      <c r="E73" s="2" t="inlineStr">
        <is>
          <t>T</t>
        </is>
      </c>
      <c r="F73" s="2" t="inlineStr">
        <is>
          <t>4</t>
        </is>
      </c>
      <c r="G73" s="2" t="inlineStr">
        <is>
          <t>5</t>
        </is>
      </c>
      <c r="H73" s="2" t="inlineStr">
        <is>
          <t>4</t>
        </is>
      </c>
      <c r="I73" s="2" t="inlineStr">
        <is>
          <t>4</t>
        </is>
      </c>
      <c r="J73" s="2" t="inlineStr">
        <is>
          <t>3</t>
        </is>
      </c>
      <c r="K73" s="2" t="inlineStr">
        <is>
          <t>4</t>
        </is>
      </c>
      <c r="L73" s="2" t="inlineStr">
        <is>
          <t>2</t>
        </is>
      </c>
      <c r="M73" s="2" t="inlineStr">
        <is>
          <t>4</t>
        </is>
      </c>
      <c r="N73" s="2" t="inlineStr">
        <is>
          <t>3</t>
        </is>
      </c>
      <c r="O73" s="2" t="inlineStr">
        <is>
          <t>76.1</t>
        </is>
      </c>
      <c r="P73" s="2" t="inlineStr">
        <is>
          <t>WS-028</t>
        </is>
      </c>
      <c r="Q73" s="2" t="inlineStr">
        <is>
          <t>Selected, conditional on verification + sensitivity review</t>
        </is>
      </c>
    </row>
    <row r="74">
      <c r="A74" s="2" t="inlineStr">
        <is>
          <t>T073</t>
        </is>
      </c>
      <c r="B74" s="2" t="inlineStr">
        <is>
          <t>City-killer asteroid with years of warning</t>
        </is>
      </c>
      <c r="C74" s="2" t="inlineStr">
        <is>
          <t>P3</t>
        </is>
      </c>
      <c r="D74" s="2" t="inlineStr">
        <is>
          <t>[R-S23] What If award entry</t>
        </is>
      </c>
      <c r="E74" s="2" t="inlineStr">
        <is>
          <t>S</t>
        </is>
      </c>
      <c r="F74" s="2" t="inlineStr">
        <is>
          <t>4</t>
        </is>
      </c>
      <c r="G74" s="2" t="inlineStr">
        <is>
          <t>4</t>
        </is>
      </c>
      <c r="H74" s="2" t="inlineStr">
        <is>
          <t>3</t>
        </is>
      </c>
      <c r="I74" s="2" t="inlineStr">
        <is>
          <t>5</t>
        </is>
      </c>
      <c r="J74" s="2" t="inlineStr">
        <is>
          <t>2</t>
        </is>
      </c>
      <c r="K74" s="2" t="inlineStr">
        <is>
          <t>3</t>
        </is>
      </c>
      <c r="L74" s="2" t="inlineStr">
        <is>
          <t>3</t>
        </is>
      </c>
      <c r="M74" s="2" t="inlineStr">
        <is>
          <t>3</t>
        </is>
      </c>
      <c r="N74" s="2" t="inlineStr">
        <is>
          <t>2</t>
        </is>
      </c>
      <c r="O74" s="2" t="inlineStr">
        <is>
          <t>65.9</t>
        </is>
      </c>
      <c r="P74" s="2" t="inlineStr">
        <is>
          <t>DEF</t>
        </is>
      </c>
      <c r="Q74" s="2" t="inlineStr">
        <is>
          <t>Facts unverified; competitor-dense</t>
        </is>
      </c>
    </row>
    <row r="75">
      <c r="A75" s="2" t="inlineStr">
        <is>
          <t>T074</t>
        </is>
      </c>
      <c r="B75" s="2" t="inlineStr">
        <is>
          <t>Plane ditching on water: brace, bags, vest outside</t>
        </is>
      </c>
      <c r="C75" s="2" t="inlineStr">
        <is>
          <t>P2</t>
        </is>
      </c>
      <c r="D75" s="2" t="inlineStr">
        <is>
          <t>[BK]</t>
        </is>
      </c>
      <c r="E75" s="2" t="inlineStr">
        <is>
          <t>E</t>
        </is>
      </c>
      <c r="F75" s="2" t="inlineStr">
        <is>
          <t>4</t>
        </is>
      </c>
      <c r="G75" s="2" t="inlineStr">
        <is>
          <t>4</t>
        </is>
      </c>
      <c r="H75" s="2" t="inlineStr">
        <is>
          <t>4</t>
        </is>
      </c>
      <c r="I75" s="2" t="inlineStr">
        <is>
          <t>4</t>
        </is>
      </c>
      <c r="J75" s="2" t="inlineStr">
        <is>
          <t>3</t>
        </is>
      </c>
      <c r="K75" s="2" t="inlineStr">
        <is>
          <t>4</t>
        </is>
      </c>
      <c r="L75" s="2" t="inlineStr">
        <is>
          <t>1</t>
        </is>
      </c>
      <c r="M75" s="2" t="inlineStr">
        <is>
          <t>4</t>
        </is>
      </c>
      <c r="N75" s="2" t="inlineStr">
        <is>
          <t>2</t>
        </is>
      </c>
      <c r="O75" s="2" t="inlineStr">
        <is>
          <t>69.8</t>
        </is>
      </c>
      <c r="P75" s="2" t="inlineStr">
        <is>
          <t>DEF</t>
        </is>
      </c>
      <c r="Q75" s="2" t="inlineStr">
        <is>
          <t>Unverified; overlaps WS-006 cabin kit — month 2</t>
        </is>
      </c>
    </row>
    <row r="76">
      <c r="A76" s="2" t="inlineStr">
        <is>
          <t>T075</t>
        </is>
      </c>
      <c r="B76" s="2" t="inlineStr">
        <is>
          <t>Lost at sea in a life raft</t>
        </is>
      </c>
      <c r="C76" s="2" t="inlineStr">
        <is>
          <t>P2</t>
        </is>
      </c>
      <c r="D76" s="2" t="inlineStr">
        <is>
          <t>[BK]</t>
        </is>
      </c>
      <c r="E76" s="2" t="inlineStr">
        <is>
          <t>E</t>
        </is>
      </c>
      <c r="F76" s="2" t="inlineStr">
        <is>
          <t>3</t>
        </is>
      </c>
      <c r="G76" s="2" t="inlineStr">
        <is>
          <t>4</t>
        </is>
      </c>
      <c r="H76" s="2" t="inlineStr">
        <is>
          <t>3</t>
        </is>
      </c>
      <c r="I76" s="2" t="inlineStr">
        <is>
          <t>4</t>
        </is>
      </c>
      <c r="J76" s="2" t="inlineStr">
        <is>
          <t>3</t>
        </is>
      </c>
      <c r="K76" s="2" t="inlineStr">
        <is>
          <t>3</t>
        </is>
      </c>
      <c r="L76" s="2" t="inlineStr">
        <is>
          <t>1</t>
        </is>
      </c>
      <c r="M76" s="2" t="inlineStr">
        <is>
          <t>4</t>
        </is>
      </c>
      <c r="N76" s="2" t="inlineStr">
        <is>
          <t>3</t>
        </is>
      </c>
      <c r="O76" s="2" t="inlineStr">
        <is>
          <t>63.9</t>
        </is>
      </c>
      <c r="P76" s="2" t="inlineStr">
        <is>
          <t>DEF</t>
        </is>
      </c>
      <c r="Q76" s="2" t="inlineStr">
        <is>
          <t>Unverified</t>
        </is>
      </c>
    </row>
    <row r="77">
      <c r="A77" s="2" t="inlineStr">
        <is>
          <t>T076</t>
        </is>
      </c>
      <c r="B77" s="2" t="inlineStr">
        <is>
          <t>Real historical disaster retold minute by minute</t>
        </is>
      </c>
      <c r="C77" s="2" t="inlineStr">
        <is>
          <t>P2</t>
        </is>
      </c>
      <c r="D77" s="2" t="inlineStr">
        <is>
          <t>[R-S2/S3] Zack D. Films' top videos are real incidents</t>
        </is>
      </c>
      <c r="E77" s="2" t="inlineStr">
        <is>
          <t>E</t>
        </is>
      </c>
      <c r="F77" s="2" t="inlineStr">
        <is>
          <t>5</t>
        </is>
      </c>
      <c r="G77" s="2" t="inlineStr">
        <is>
          <t>5</t>
        </is>
      </c>
      <c r="H77" s="2" t="inlineStr">
        <is>
          <t>4</t>
        </is>
      </c>
      <c r="I77" s="2" t="inlineStr">
        <is>
          <t>4</t>
        </is>
      </c>
      <c r="J77" s="2" t="inlineStr">
        <is>
          <t>2</t>
        </is>
      </c>
      <c r="K77" s="2" t="inlineStr">
        <is>
          <t>4</t>
        </is>
      </c>
      <c r="L77" s="2" t="inlineStr">
        <is>
          <t>4</t>
        </is>
      </c>
      <c r="M77" s="2" t="inlineStr">
        <is>
          <t>3</t>
        </is>
      </c>
      <c r="N77" s="2" t="inlineStr">
        <is>
          <t>3</t>
        </is>
      </c>
      <c r="O77" s="2" t="inlineStr">
        <is>
          <t>78.0</t>
        </is>
      </c>
      <c r="P77" s="2" t="inlineStr">
        <is>
          <t>DEF</t>
        </is>
      </c>
      <c r="Q77" s="2" t="inlineStr">
        <is>
          <t>Promising (evidence) but needs a respectful historical format and verification; month 2 test</t>
        </is>
      </c>
    </row>
    <row r="78">
      <c r="A78" s="2" t="inlineStr">
        <is>
          <t>T077</t>
        </is>
      </c>
      <c r="B78" s="2" t="inlineStr">
        <is>
          <t>Three myths that get people killed (doorway, overpass, 'a little water')</t>
        </is>
      </c>
      <c r="C78" s="2" t="inlineStr">
        <is>
          <t>P2</t>
        </is>
      </c>
      <c r="D78" s="2" t="inlineStr">
        <is>
          <t>[BK]</t>
        </is>
      </c>
      <c r="E78" s="2" t="inlineStr">
        <is>
          <t>E</t>
        </is>
      </c>
      <c r="F78" s="2" t="inlineStr">
        <is>
          <t>4</t>
        </is>
      </c>
      <c r="G78" s="2" t="inlineStr">
        <is>
          <t>5</t>
        </is>
      </c>
      <c r="H78" s="2" t="inlineStr">
        <is>
          <t>2</t>
        </is>
      </c>
      <c r="I78" s="2" t="inlineStr">
        <is>
          <t>3</t>
        </is>
      </c>
      <c r="J78" s="2" t="inlineStr">
        <is>
          <t>2</t>
        </is>
      </c>
      <c r="K78" s="2" t="inlineStr">
        <is>
          <t>3</t>
        </is>
      </c>
      <c r="L78" s="2" t="inlineStr">
        <is>
          <t>3</t>
        </is>
      </c>
      <c r="M78" s="2" t="inlineStr">
        <is>
          <t>4</t>
        </is>
      </c>
      <c r="N78" s="2" t="inlineStr">
        <is>
          <t>4</t>
        </is>
      </c>
      <c r="O78" s="2" t="inlineStr">
        <is>
          <t>68.3</t>
        </is>
      </c>
      <c r="P78" s="2" t="inlineStr">
        <is>
          <t>DEF</t>
        </is>
      </c>
      <c r="Q78" s="2" t="inlineStr">
        <is>
          <t>Listicle; the individual episodes cover them</t>
        </is>
      </c>
    </row>
    <row r="79">
      <c r="A79" s="2" t="inlineStr">
        <is>
          <t>T078</t>
        </is>
      </c>
      <c r="B79" s="2" t="inlineStr">
        <is>
          <t>Winter myths: eat snow, alcohol warms you</t>
        </is>
      </c>
      <c r="C79" s="2" t="inlineStr">
        <is>
          <t>P2</t>
        </is>
      </c>
      <c r="D79" s="2" t="inlineStr">
        <is>
          <t>[BK]</t>
        </is>
      </c>
      <c r="E79" s="2" t="inlineStr">
        <is>
          <t>W</t>
        </is>
      </c>
      <c r="F79" s="2" t="inlineStr">
        <is>
          <t>3</t>
        </is>
      </c>
      <c r="G79" s="2" t="inlineStr">
        <is>
          <t>4</t>
        </is>
      </c>
      <c r="H79" s="2" t="inlineStr">
        <is>
          <t>2</t>
        </is>
      </c>
      <c r="I79" s="2" t="inlineStr">
        <is>
          <t>3</t>
        </is>
      </c>
      <c r="J79" s="2" t="inlineStr">
        <is>
          <t>3</t>
        </is>
      </c>
      <c r="K79" s="2" t="inlineStr">
        <is>
          <t>2</t>
        </is>
      </c>
      <c r="L79" s="2" t="inlineStr">
        <is>
          <t>1</t>
        </is>
      </c>
      <c r="M79" s="2" t="inlineStr">
        <is>
          <t>4</t>
        </is>
      </c>
      <c r="N79" s="2" t="inlineStr">
        <is>
          <t>4</t>
        </is>
      </c>
      <c r="O79" s="2" t="inlineStr">
        <is>
          <t>59.0</t>
        </is>
      </c>
      <c r="P79" s="2" t="inlineStr">
        <is>
          <t>DEF</t>
        </is>
      </c>
      <c r="Q79" s="2" t="inlineStr">
        <is>
          <t>Unverified</t>
        </is>
      </c>
    </row>
    <row r="80">
      <c r="A80" s="2" t="inlineStr">
        <is>
          <t>T079</t>
        </is>
      </c>
      <c r="B80" s="2" t="inlineStr">
        <is>
          <t>'Play dead' works for one bear, not the other</t>
        </is>
      </c>
      <c r="C80" s="2" t="inlineStr">
        <is>
          <t>P2</t>
        </is>
      </c>
      <c r="D80" s="2" t="inlineStr">
        <is>
          <t>[BK]</t>
        </is>
      </c>
      <c r="E80" s="2" t="inlineStr">
        <is>
          <t>E</t>
        </is>
      </c>
      <c r="F80" s="2" t="inlineStr">
        <is>
          <t>3</t>
        </is>
      </c>
      <c r="G80" s="2" t="inlineStr">
        <is>
          <t>4</t>
        </is>
      </c>
      <c r="H80" s="2" t="inlineStr">
        <is>
          <t>3</t>
        </is>
      </c>
      <c r="I80" s="2" t="inlineStr">
        <is>
          <t>3</t>
        </is>
      </c>
      <c r="J80" s="2" t="inlineStr">
        <is>
          <t>3</t>
        </is>
      </c>
      <c r="K80" s="2" t="inlineStr">
        <is>
          <t>3</t>
        </is>
      </c>
      <c r="L80" s="2" t="inlineStr">
        <is>
          <t>1</t>
        </is>
      </c>
      <c r="M80" s="2" t="inlineStr">
        <is>
          <t>4</t>
        </is>
      </c>
      <c r="N80" s="2" t="inlineStr">
        <is>
          <t>4</t>
        </is>
      </c>
      <c r="O80" s="2" t="inlineStr">
        <is>
          <t>63.9</t>
        </is>
      </c>
      <c r="P80" s="2" t="inlineStr">
        <is>
          <t>DEF</t>
        </is>
      </c>
      <c r="Q80" s="2" t="inlineStr">
        <is>
          <t>Unverified</t>
        </is>
      </c>
    </row>
    <row r="81">
      <c r="A81" s="2" t="inlineStr">
        <is>
          <t>T080</t>
        </is>
      </c>
      <c r="B81" s="2" t="inlineStr">
        <is>
          <t>Zombie-movie rules that would get you killed</t>
        </is>
      </c>
      <c r="C81" s="2" t="inlineStr">
        <is>
          <t>P1</t>
        </is>
      </c>
      <c r="D81" s="2" t="inlineStr">
        <is>
          <t>[J][R-S36–39]</t>
        </is>
      </c>
      <c r="E81" s="2" t="inlineStr">
        <is>
          <t>H/E</t>
        </is>
      </c>
      <c r="F81" s="2" t="inlineStr">
        <is>
          <t>4</t>
        </is>
      </c>
      <c r="G81" s="2" t="inlineStr">
        <is>
          <t>4</t>
        </is>
      </c>
      <c r="H81" s="2" t="inlineStr">
        <is>
          <t>2</t>
        </is>
      </c>
      <c r="I81" s="2" t="inlineStr">
        <is>
          <t>3</t>
        </is>
      </c>
      <c r="J81" s="2" t="inlineStr">
        <is>
          <t>2</t>
        </is>
      </c>
      <c r="K81" s="2" t="inlineStr">
        <is>
          <t>3</t>
        </is>
      </c>
      <c r="L81" s="2" t="inlineStr">
        <is>
          <t>2</t>
        </is>
      </c>
      <c r="M81" s="2" t="inlineStr">
        <is>
          <t>4</t>
        </is>
      </c>
      <c r="N81" s="2" t="inlineStr">
        <is>
          <t>4</t>
        </is>
      </c>
      <c r="O81" s="2" t="inlineStr">
        <is>
          <t>63.9</t>
        </is>
      </c>
      <c r="P81" s="2" t="inlineStr">
        <is>
          <t>DEF</t>
        </is>
      </c>
      <c r="Q81" s="2" t="inlineStr">
        <is>
          <t>Listicle; month 2</t>
        </is>
      </c>
    </row>
    <row r="82">
      <c r="A82" s="2" t="inlineStr">
        <is>
          <t>T081</t>
        </is>
      </c>
      <c r="B82" s="2" t="inlineStr">
        <is>
          <t>Movie quicksand vs real quicksand</t>
        </is>
      </c>
      <c r="C82" s="2" t="inlineStr">
        <is>
          <t>P2</t>
        </is>
      </c>
      <c r="D82" s="2" t="inlineStr">
        <is>
          <t>[BK]</t>
        </is>
      </c>
      <c r="E82" s="2" t="inlineStr">
        <is>
          <t>E</t>
        </is>
      </c>
      <c r="F82" s="2" t="inlineStr">
        <is>
          <t>2</t>
        </is>
      </c>
      <c r="G82" s="2" t="inlineStr">
        <is>
          <t>3</t>
        </is>
      </c>
      <c r="H82" s="2" t="inlineStr">
        <is>
          <t>2</t>
        </is>
      </c>
      <c r="I82" s="2" t="inlineStr">
        <is>
          <t>3</t>
        </is>
      </c>
      <c r="J82" s="2" t="inlineStr">
        <is>
          <t>2</t>
        </is>
      </c>
      <c r="K82" s="2" t="inlineStr">
        <is>
          <t>2</t>
        </is>
      </c>
      <c r="L82" s="2" t="inlineStr">
        <is>
          <t>1</t>
        </is>
      </c>
      <c r="M82" s="2" t="inlineStr">
        <is>
          <t>2</t>
        </is>
      </c>
      <c r="N82" s="2" t="inlineStr">
        <is>
          <t>4</t>
        </is>
      </c>
      <c r="O82" s="2" t="inlineStr">
        <is>
          <t>47.3</t>
        </is>
      </c>
      <c r="P82" s="2" t="inlineStr">
        <is>
          <t>REJ</t>
        </is>
      </c>
      <c r="Q82" s="2" t="inlineStr">
        <is>
          <t>Low stakes; unverified</t>
        </is>
      </c>
    </row>
    <row r="83">
      <c r="A83" s="2" t="inlineStr">
        <is>
          <t>T082</t>
        </is>
      </c>
      <c r="B83" s="2" t="inlineStr">
        <is>
          <t>A stranger at the door on day 5: let them in?</t>
        </is>
      </c>
      <c r="C83" s="2" t="inlineStr">
        <is>
          <t>P1</t>
        </is>
      </c>
      <c r="D83" s="2" t="inlineStr">
        <is>
          <t>[J]</t>
        </is>
      </c>
      <c r="E83" s="2" t="inlineStr">
        <is>
          <t>E</t>
        </is>
      </c>
      <c r="F83" s="2" t="inlineStr">
        <is>
          <t>4</t>
        </is>
      </c>
      <c r="G83" s="2" t="inlineStr">
        <is>
          <t>5</t>
        </is>
      </c>
      <c r="H83" s="2" t="inlineStr">
        <is>
          <t>4</t>
        </is>
      </c>
      <c r="I83" s="2" t="inlineStr">
        <is>
          <t>3</t>
        </is>
      </c>
      <c r="J83" s="2" t="inlineStr">
        <is>
          <t>2</t>
        </is>
      </c>
      <c r="K83" s="2" t="inlineStr">
        <is>
          <t>4</t>
        </is>
      </c>
      <c r="L83" s="2" t="inlineStr">
        <is>
          <t>1</t>
        </is>
      </c>
      <c r="M83" s="2" t="inlineStr">
        <is>
          <t>4</t>
        </is>
      </c>
      <c r="N83" s="2" t="inlineStr">
        <is>
          <t>5</t>
        </is>
      </c>
      <c r="O83" s="2" t="inlineStr">
        <is>
          <t>74.6</t>
        </is>
      </c>
      <c r="P83" s="2" t="inlineStr">
        <is>
          <t>REJ</t>
        </is>
      </c>
      <c r="Q83" s="2" t="inlineStr">
        <is>
          <t>Too close to the reference's Part 2 trust dilemma</t>
        </is>
      </c>
    </row>
    <row r="84">
      <c r="A84" s="2" t="inlineStr">
        <is>
          <t>T083</t>
        </is>
      </c>
      <c r="B84" s="2" t="inlineStr">
        <is>
          <t>Your friend hides a bite: tell the group?</t>
        </is>
      </c>
      <c r="C84" s="2" t="inlineStr">
        <is>
          <t>P1</t>
        </is>
      </c>
      <c r="D84" s="2" t="inlineStr">
        <is>
          <t>[J][R-S24]</t>
        </is>
      </c>
      <c r="E84" s="2" t="inlineStr">
        <is>
          <t>E</t>
        </is>
      </c>
      <c r="F84" s="2" t="inlineStr">
        <is>
          <t>4</t>
        </is>
      </c>
      <c r="G84" s="2" t="inlineStr">
        <is>
          <t>5</t>
        </is>
      </c>
      <c r="H84" s="2" t="inlineStr">
        <is>
          <t>4</t>
        </is>
      </c>
      <c r="I84" s="2" t="inlineStr">
        <is>
          <t>3</t>
        </is>
      </c>
      <c r="J84" s="2" t="inlineStr">
        <is>
          <t>3</t>
        </is>
      </c>
      <c r="K84" s="2" t="inlineStr">
        <is>
          <t>4</t>
        </is>
      </c>
      <c r="L84" s="2" t="inlineStr">
        <is>
          <t>2</t>
        </is>
      </c>
      <c r="M84" s="2" t="inlineStr">
        <is>
          <t>4</t>
        </is>
      </c>
      <c r="N84" s="2" t="inlineStr">
        <is>
          <t>5</t>
        </is>
      </c>
      <c r="O84" s="2" t="inlineStr">
        <is>
          <t>78.0</t>
        </is>
      </c>
      <c r="P84" s="2" t="inlineStr">
        <is>
          <t>REJ</t>
        </is>
      </c>
      <c r="Q84" s="2" t="inlineStr">
        <is>
          <t>Folded into WS-024</t>
        </is>
      </c>
    </row>
    <row r="85">
      <c r="A85" s="2" t="inlineStr">
        <is>
          <t>T084</t>
        </is>
      </c>
      <c r="B85" s="2" t="inlineStr">
        <is>
          <t>Pick 3 items from a 12-item grid</t>
        </is>
      </c>
      <c r="C85" s="2" t="inlineStr">
        <is>
          <t>P3</t>
        </is>
      </c>
      <c r="D85" s="2" t="inlineStr">
        <is>
          <t>[J]</t>
        </is>
      </c>
      <c r="E85" s="2" t="inlineStr">
        <is>
          <t>E</t>
        </is>
      </c>
      <c r="F85" s="2" t="inlineStr">
        <is>
          <t>3</t>
        </is>
      </c>
      <c r="G85" s="2" t="inlineStr">
        <is>
          <t>4</t>
        </is>
      </c>
      <c r="H85" s="2" t="inlineStr">
        <is>
          <t>1</t>
        </is>
      </c>
      <c r="I85" s="2" t="inlineStr">
        <is>
          <t>2</t>
        </is>
      </c>
      <c r="J85" s="2" t="inlineStr">
        <is>
          <t>2</t>
        </is>
      </c>
      <c r="K85" s="2" t="inlineStr">
        <is>
          <t>2</t>
        </is>
      </c>
      <c r="L85" s="2" t="inlineStr">
        <is>
          <t>1</t>
        </is>
      </c>
      <c r="M85" s="2" t="inlineStr">
        <is>
          <t>3</t>
        </is>
      </c>
      <c r="N85" s="2" t="inlineStr">
        <is>
          <t>5</t>
        </is>
      </c>
      <c r="O85" s="2" t="inlineStr">
        <is>
          <t>52.7</t>
        </is>
      </c>
      <c r="P85" s="2" t="inlineStr">
        <is>
          <t>REJ</t>
        </is>
      </c>
      <c r="Q85" s="2" t="inlineStr">
        <is>
          <t>Not a story</t>
        </is>
      </c>
    </row>
    <row r="86">
      <c r="A86" s="2" t="inlineStr">
        <is>
          <t>T085</t>
        </is>
      </c>
      <c r="B86" s="2" t="inlineStr">
        <is>
          <t>Roof or basement? We played both endings (house outbreak)</t>
        </is>
      </c>
      <c r="C86" s="2" t="inlineStr">
        <is>
          <t>P1</t>
        </is>
      </c>
      <c r="D86" s="2" t="inlineStr">
        <is>
          <t>[R-S38] hiding debate (up vs down)</t>
        </is>
      </c>
      <c r="E86" s="2" t="inlineStr">
        <is>
          <t>E</t>
        </is>
      </c>
      <c r="F86" s="2" t="inlineStr">
        <is>
          <t>5</t>
        </is>
      </c>
      <c r="G86" s="2" t="inlineStr">
        <is>
          <t>5</t>
        </is>
      </c>
      <c r="H86" s="2" t="inlineStr">
        <is>
          <t>4</t>
        </is>
      </c>
      <c r="I86" s="2" t="inlineStr">
        <is>
          <t>4</t>
        </is>
      </c>
      <c r="J86" s="2" t="inlineStr">
        <is>
          <t>4</t>
        </is>
      </c>
      <c r="K86" s="2" t="inlineStr">
        <is>
          <t>5</t>
        </is>
      </c>
      <c r="L86" s="2" t="inlineStr">
        <is>
          <t>4</t>
        </is>
      </c>
      <c r="M86" s="2" t="inlineStr">
        <is>
          <t>5</t>
        </is>
      </c>
      <c r="N86" s="2" t="inlineStr">
        <is>
          <t>4</t>
        </is>
      </c>
      <c r="O86" s="2" t="inlineStr">
        <is>
          <t>90.2</t>
        </is>
      </c>
      <c r="P86" s="2" t="inlineStr">
        <is>
          <t>WS-007</t>
        </is>
      </c>
      <c r="Q86" s="2" t="inlineStr">
        <is>
          <t>Selected; Both Endings format test</t>
        </is>
      </c>
    </row>
    <row r="87">
      <c r="A87" s="2" t="inlineStr">
        <is>
          <t>T086</t>
        </is>
      </c>
      <c r="B87" s="2" t="inlineStr">
        <is>
          <t>Grid down: what fails first in your home, hour by hour</t>
        </is>
      </c>
      <c r="C87" s="2" t="inlineStr">
        <is>
          <t>P3</t>
        </is>
      </c>
      <c r="D87" s="2" t="inlineStr">
        <is>
          <t>[BK] Iberian blackout 2025; [LEDGER C-1001/1002/011]</t>
        </is>
      </c>
      <c r="E87" s="2" t="inlineStr">
        <is>
          <t>S/W</t>
        </is>
      </c>
      <c r="F87" s="2" t="inlineStr">
        <is>
          <t>4</t>
        </is>
      </c>
      <c r="G87" s="2" t="inlineStr">
        <is>
          <t>5</t>
        </is>
      </c>
      <c r="H87" s="2" t="inlineStr">
        <is>
          <t>3</t>
        </is>
      </c>
      <c r="I87" s="2" t="inlineStr">
        <is>
          <t>4</t>
        </is>
      </c>
      <c r="J87" s="2" t="inlineStr">
        <is>
          <t>3</t>
        </is>
      </c>
      <c r="K87" s="2" t="inlineStr">
        <is>
          <t>4</t>
        </is>
      </c>
      <c r="L87" s="2" t="inlineStr">
        <is>
          <t>3</t>
        </is>
      </c>
      <c r="M87" s="2" t="inlineStr">
        <is>
          <t>5</t>
        </is>
      </c>
      <c r="N87" s="2" t="inlineStr">
        <is>
          <t>4</t>
        </is>
      </c>
      <c r="O87" s="2" t="inlineStr">
        <is>
          <t>79.0</t>
        </is>
      </c>
      <c r="P87" s="2" t="inlineStr">
        <is>
          <t>WS-010</t>
        </is>
      </c>
      <c r="Q87" s="2" t="inlineStr">
        <is>
          <t>Selected (unverified items cut unless verified)</t>
        </is>
      </c>
    </row>
    <row r="88">
      <c r="A88" s="2" t="inlineStr">
        <is>
          <t>T087</t>
        </is>
      </c>
      <c r="B88" s="2" t="inlineStr">
        <is>
          <t>The flash before the bang: why you don't go to the window (Chelyabinsk 2013)</t>
        </is>
      </c>
      <c r="C88" s="2" t="inlineStr">
        <is>
          <t>P2</t>
        </is>
      </c>
      <c r="D88" s="2" t="inlineStr">
        <is>
          <t>[BK]; [LEDGER-BLOCK C-1801/1802]</t>
        </is>
      </c>
      <c r="E88" s="2" t="inlineStr">
        <is>
          <t>L (Leonids week)</t>
        </is>
      </c>
      <c r="F88" s="2" t="inlineStr">
        <is>
          <t>4</t>
        </is>
      </c>
      <c r="G88" s="2" t="inlineStr">
        <is>
          <t>5</t>
        </is>
      </c>
      <c r="H88" s="2" t="inlineStr">
        <is>
          <t>4</t>
        </is>
      </c>
      <c r="I88" s="2" t="inlineStr">
        <is>
          <t>5</t>
        </is>
      </c>
      <c r="J88" s="2" t="inlineStr">
        <is>
          <t>5</t>
        </is>
      </c>
      <c r="K88" s="2" t="inlineStr">
        <is>
          <t>4</t>
        </is>
      </c>
      <c r="L88" s="2" t="inlineStr">
        <is>
          <t>2</t>
        </is>
      </c>
      <c r="M88" s="2" t="inlineStr">
        <is>
          <t>5</t>
        </is>
      </c>
      <c r="N88" s="2" t="inlineStr">
        <is>
          <t>3</t>
        </is>
      </c>
      <c r="O88" s="2" t="inlineStr">
        <is>
          <t>83.9</t>
        </is>
      </c>
      <c r="P88" s="2" t="inlineStr">
        <is>
          <t>WS-018</t>
        </is>
      </c>
      <c r="Q88" s="2" t="inlineStr">
        <is>
          <t>Selected, conditional on verification</t>
        </is>
      </c>
    </row>
    <row r="89">
      <c r="A89" s="2" t="inlineStr">
        <is>
          <t>T088</t>
        </is>
      </c>
      <c r="B89" s="2" t="inlineStr">
        <is>
          <t>The last bus out before the pass closes (cast assembles; bridge to December)</t>
        </is>
      </c>
      <c r="C89" s="2" t="inlineStr">
        <is>
          <t>P1</t>
        </is>
      </c>
      <c r="D89" s="2" t="inlineStr">
        <is>
          <t>[J]</t>
        </is>
      </c>
      <c r="E89" s="2" t="inlineStr">
        <is>
          <t>W</t>
        </is>
      </c>
      <c r="F89" s="2" t="inlineStr">
        <is>
          <t>4</t>
        </is>
      </c>
      <c r="G89" s="2" t="inlineStr">
        <is>
          <t>5</t>
        </is>
      </c>
      <c r="H89" s="2" t="inlineStr">
        <is>
          <t>4</t>
        </is>
      </c>
      <c r="I89" s="2" t="inlineStr">
        <is>
          <t>4</t>
        </is>
      </c>
      <c r="J89" s="2" t="inlineStr">
        <is>
          <t>4</t>
        </is>
      </c>
      <c r="K89" s="2" t="inlineStr">
        <is>
          <t>4</t>
        </is>
      </c>
      <c r="L89" s="2" t="inlineStr">
        <is>
          <t>1</t>
        </is>
      </c>
      <c r="M89" s="2" t="inlineStr">
        <is>
          <t>5</t>
        </is>
      </c>
      <c r="N89" s="2" t="inlineStr">
        <is>
          <t>2</t>
        </is>
      </c>
      <c r="O89" s="2" t="inlineStr">
        <is>
          <t>76.6</t>
        </is>
      </c>
      <c r="P89" s="2" t="inlineStr">
        <is>
          <t>WS-030</t>
        </is>
      </c>
      <c r="Q89" s="2" t="inlineStr">
        <is>
          <t>Selected (bridge)</t>
        </is>
      </c>
    </row>
    <row r="90">
      <c r="A90" s="2" t="inlineStr">
        <is>
          <t>T089</t>
        </is>
      </c>
      <c r="B90" s="2" t="inlineStr">
        <is>
          <t>Lightning on a hike: the picnic shelter won't save you</t>
        </is>
      </c>
      <c r="C90" s="2" t="inlineStr">
        <is>
          <t>P2</t>
        </is>
      </c>
      <c r="D90" s="2" t="inlineStr">
        <is>
          <t>[BK]; [LEDGER C-R101–104]</t>
        </is>
      </c>
      <c r="E90" s="2" t="inlineStr">
        <is>
          <t>Summer/E</t>
        </is>
      </c>
      <c r="F90" s="2" t="inlineStr">
        <is>
          <t>4</t>
        </is>
      </c>
      <c r="G90" s="2" t="inlineStr">
        <is>
          <t>5</t>
        </is>
      </c>
      <c r="H90" s="2" t="inlineStr">
        <is>
          <t>3</t>
        </is>
      </c>
      <c r="I90" s="2" t="inlineStr">
        <is>
          <t>4</t>
        </is>
      </c>
      <c r="J90" s="2" t="inlineStr">
        <is>
          <t>3</t>
        </is>
      </c>
      <c r="K90" s="2" t="inlineStr">
        <is>
          <t>4</t>
        </is>
      </c>
      <c r="L90" s="2" t="inlineStr">
        <is>
          <t>4</t>
        </is>
      </c>
      <c r="M90" s="2" t="inlineStr">
        <is>
          <t>5</t>
        </is>
      </c>
      <c r="N90" s="2" t="inlineStr">
        <is>
          <t>4</t>
        </is>
      </c>
      <c r="O90" s="2" t="inlineStr">
        <is>
          <t>80.5</t>
        </is>
      </c>
      <c r="P90" s="2" t="inlineStr">
        <is>
          <t>R01</t>
        </is>
      </c>
      <c r="Q90" s="2" t="inlineStr">
        <is>
          <t>Reserve (verified)</t>
        </is>
      </c>
    </row>
    <row r="91">
      <c r="A91" s="2" t="inlineStr">
        <is>
          <t>T090</t>
        </is>
      </c>
      <c r="B91" s="2" t="inlineStr">
        <is>
          <t>Cold water overboard: the gasp comes first</t>
        </is>
      </c>
      <c r="C91" s="2" t="inlineStr">
        <is>
          <t>P2</t>
        </is>
      </c>
      <c r="D91" s="2" t="inlineStr">
        <is>
          <t>[LEDGER C-2101/2102]</t>
        </is>
      </c>
      <c r="E91" s="2" t="inlineStr">
        <is>
          <t>E</t>
        </is>
      </c>
      <c r="F91" s="2" t="inlineStr">
        <is>
          <t>4</t>
        </is>
      </c>
      <c r="G91" s="2" t="inlineStr">
        <is>
          <t>4</t>
        </is>
      </c>
      <c r="H91" s="2" t="inlineStr">
        <is>
          <t>3</t>
        </is>
      </c>
      <c r="I91" s="2" t="inlineStr">
        <is>
          <t>4</t>
        </is>
      </c>
      <c r="J91" s="2" t="inlineStr">
        <is>
          <t>3</t>
        </is>
      </c>
      <c r="K91" s="2" t="inlineStr">
        <is>
          <t>3</t>
        </is>
      </c>
      <c r="L91" s="2" t="inlineStr">
        <is>
          <t>4</t>
        </is>
      </c>
      <c r="M91" s="2" t="inlineStr">
        <is>
          <t>5</t>
        </is>
      </c>
      <c r="N91" s="2" t="inlineStr">
        <is>
          <t>3</t>
        </is>
      </c>
      <c r="O91" s="2" t="inlineStr">
        <is>
          <t>73.2</t>
        </is>
      </c>
      <c r="P91" s="2" t="inlineStr">
        <is>
          <t>R08</t>
        </is>
      </c>
      <c r="Q91" s="2" t="inlineStr">
        <is>
          <t>Reserve (verified)</t>
        </is>
      </c>
    </row>
    <row r="92">
      <c r="A92" s="2" t="inlineStr">
        <is>
          <t>T091</t>
        </is>
      </c>
      <c r="B92" s="2" t="inlineStr">
        <is>
          <t>Airport gate on the busiest travel day</t>
        </is>
      </c>
      <c r="C92" s="2" t="inlineStr">
        <is>
          <t>P1</t>
        </is>
      </c>
      <c r="D92" s="2" t="inlineStr">
        <is>
          <t>[J] + calendar (day before Thanksgiving)</t>
        </is>
      </c>
      <c r="E92" s="2" t="inlineStr">
        <is>
          <t>T</t>
        </is>
      </c>
      <c r="F92" s="2" t="inlineStr">
        <is>
          <t>4</t>
        </is>
      </c>
      <c r="G92" s="2" t="inlineStr">
        <is>
          <t>5</t>
        </is>
      </c>
      <c r="H92" s="2" t="inlineStr">
        <is>
          <t>4</t>
        </is>
      </c>
      <c r="I92" s="2" t="inlineStr">
        <is>
          <t>4</t>
        </is>
      </c>
      <c r="J92" s="2" t="inlineStr">
        <is>
          <t>4</t>
        </is>
      </c>
      <c r="K92" s="2" t="inlineStr">
        <is>
          <t>4</t>
        </is>
      </c>
      <c r="L92" s="2" t="inlineStr">
        <is>
          <t>2</t>
        </is>
      </c>
      <c r="M92" s="2" t="inlineStr">
        <is>
          <t>5</t>
        </is>
      </c>
      <c r="N92" s="2" t="inlineStr">
        <is>
          <t>3</t>
        </is>
      </c>
      <c r="O92" s="2" t="inlineStr">
        <is>
          <t>80.0</t>
        </is>
      </c>
      <c r="P92" s="2" t="inlineStr">
        <is>
          <t>WS-026</t>
        </is>
      </c>
      <c r="Q92" s="2" t="inlineStr">
        <is>
          <t>Selected</t>
        </is>
      </c>
    </row>
    <row r="93">
      <c r="A93" s="2" t="inlineStr">
        <is>
          <t>T092</t>
        </is>
      </c>
      <c r="B93" s="2" t="inlineStr">
        <is>
          <t>Infected can't climb ladders: the grain silo</t>
        </is>
      </c>
      <c r="C93" s="2" t="inlineStr">
        <is>
          <t>P1</t>
        </is>
      </c>
      <c r="D93" s="2" t="inlineStr">
        <is>
          <t>[J]</t>
        </is>
      </c>
      <c r="E93" s="2" t="inlineStr">
        <is>
          <t>E</t>
        </is>
      </c>
      <c r="F93" s="2" t="inlineStr">
        <is>
          <t>3</t>
        </is>
      </c>
      <c r="G93" s="2" t="inlineStr">
        <is>
          <t>4</t>
        </is>
      </c>
      <c r="H93" s="2" t="inlineStr">
        <is>
          <t>3</t>
        </is>
      </c>
      <c r="I93" s="2" t="inlineStr">
        <is>
          <t>4</t>
        </is>
      </c>
      <c r="J93" s="2" t="inlineStr">
        <is>
          <t>3</t>
        </is>
      </c>
      <c r="K93" s="2" t="inlineStr">
        <is>
          <t>3</t>
        </is>
      </c>
      <c r="L93" s="2" t="inlineStr">
        <is>
          <t>1</t>
        </is>
      </c>
      <c r="M93" s="2" t="inlineStr">
        <is>
          <t>3</t>
        </is>
      </c>
      <c r="N93" s="2" t="inlineStr">
        <is>
          <t>3</t>
        </is>
      </c>
      <c r="O93" s="2" t="inlineStr">
        <is>
          <t>62.0</t>
        </is>
      </c>
      <c r="P93" s="2" t="inlineStr">
        <is>
          <t>REJ</t>
        </is>
      </c>
      <c r="Q93" s="2" t="inlineStr">
        <is>
          <t>Rural silo reads as reference territory</t>
        </is>
      </c>
    </row>
    <row r="94">
      <c r="A94" s="2" t="inlineStr">
        <is>
          <t>T093</t>
        </is>
      </c>
      <c r="B94" s="2" t="inlineStr">
        <is>
          <t>Black ice on the bridge: the skid decision</t>
        </is>
      </c>
      <c r="C94" s="2" t="inlineStr">
        <is>
          <t>P2</t>
        </is>
      </c>
      <c r="D94" s="2" t="inlineStr">
        <is>
          <t>[BK]</t>
        </is>
      </c>
      <c r="E94" s="2" t="inlineStr">
        <is>
          <t>W</t>
        </is>
      </c>
      <c r="F94" s="2" t="inlineStr">
        <is>
          <t>4</t>
        </is>
      </c>
      <c r="G94" s="2" t="inlineStr">
        <is>
          <t>4</t>
        </is>
      </c>
      <c r="H94" s="2" t="inlineStr">
        <is>
          <t>3</t>
        </is>
      </c>
      <c r="I94" s="2" t="inlineStr">
        <is>
          <t>4</t>
        </is>
      </c>
      <c r="J94" s="2" t="inlineStr">
        <is>
          <t>3</t>
        </is>
      </c>
      <c r="K94" s="2" t="inlineStr">
        <is>
          <t>3</t>
        </is>
      </c>
      <c r="L94" s="2" t="inlineStr">
        <is>
          <t>1</t>
        </is>
      </c>
      <c r="M94" s="2" t="inlineStr">
        <is>
          <t>4</t>
        </is>
      </c>
      <c r="N94" s="2" t="inlineStr">
        <is>
          <t>4</t>
        </is>
      </c>
      <c r="O94" s="2" t="inlineStr">
        <is>
          <t>68.8</t>
        </is>
      </c>
      <c r="P94" s="2" t="inlineStr">
        <is>
          <t>DEF</t>
        </is>
      </c>
      <c r="Q94" s="2" t="inlineStr">
        <is>
          <t>Unverified driving guidance</t>
        </is>
      </c>
    </row>
    <row r="95">
      <c r="A95" s="2" t="inlineStr">
        <is>
          <t>T094</t>
        </is>
      </c>
      <c r="B95" s="2" t="inlineStr">
        <is>
          <t>Outbreak during a power outage at the hospital nursery</t>
        </is>
      </c>
      <c r="C95" s="2" t="inlineStr">
        <is>
          <t>P1</t>
        </is>
      </c>
      <c r="D95" s="2" t="inlineStr">
        <is>
          <t>[J]</t>
        </is>
      </c>
      <c r="E95" s="2" t="inlineStr">
        <is>
          <t>E</t>
        </is>
      </c>
      <c r="F95" s="2" t="inlineStr">
        <is>
          <t>3</t>
        </is>
      </c>
      <c r="G95" s="2" t="inlineStr">
        <is>
          <t>4</t>
        </is>
      </c>
      <c r="H95" s="2" t="inlineStr">
        <is>
          <t>3</t>
        </is>
      </c>
      <c r="I95" s="2" t="inlineStr">
        <is>
          <t>3</t>
        </is>
      </c>
      <c r="J95" s="2" t="inlineStr">
        <is>
          <t>3</t>
        </is>
      </c>
      <c r="K95" s="2" t="inlineStr">
        <is>
          <t>3</t>
        </is>
      </c>
      <c r="L95" s="2" t="inlineStr">
        <is>
          <t>1</t>
        </is>
      </c>
      <c r="M95" s="2" t="inlineStr">
        <is>
          <t>2</t>
        </is>
      </c>
      <c r="N95" s="2" t="inlineStr">
        <is>
          <t>3</t>
        </is>
      </c>
      <c r="O95" s="2" t="inlineStr">
        <is>
          <t>58.0</t>
        </is>
      </c>
      <c r="P95" s="2" t="inlineStr">
        <is>
          <t>REJ</t>
        </is>
      </c>
      <c r="Q95" s="2" t="inlineStr">
        <is>
          <t>Infants in peril: brand-safety</t>
        </is>
      </c>
    </row>
  </sheetData>
  <autoFilter ref="A1:Q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8" customWidth="1" min="3" max="3"/>
    <col width="40" customWidth="1" min="4" max="4"/>
    <col width="49" customWidth="1" min="5" max="5"/>
    <col width="60" customWidth="1" min="6" max="6"/>
    <col width="35" customWidth="1" min="7" max="7"/>
    <col width="30" customWidth="1" min="8" max="8"/>
    <col width="60" customWidth="1" min="9" max="9"/>
    <col width="34" customWidth="1" min="10" max="10"/>
    <col width="10" customWidth="1" min="11" max="11"/>
    <col width="10" customWidth="1" min="12" max="12"/>
    <col width="40" customWidth="1" min="13" max="13"/>
    <col width="10" customWidth="1" min="14" max="14"/>
  </cols>
  <sheetData>
    <row r="1">
      <c r="A1" s="1" t="inlineStr">
        <is>
          <t>Claim ID</t>
        </is>
      </c>
      <c r="B1" s="1" t="inlineStr">
        <is>
          <t>Claim</t>
        </is>
      </c>
      <c r="C1" s="1" t="inlineStr">
        <is>
          <t>Class</t>
        </is>
      </c>
      <c r="D1" s="1" t="inlineStr">
        <is>
          <t>Source (org, URL/ref)</t>
        </is>
      </c>
      <c r="E1" s="1" t="inlineStr">
        <is>
          <t>Assumptions</t>
        </is>
      </c>
      <c r="F1" s="1" t="inlineStr">
        <is>
          <t>Necessary qualification</t>
        </is>
      </c>
      <c r="G1" s="1" t="inlineStr">
        <is>
          <t>Script wording</t>
        </is>
      </c>
      <c r="H1" s="1" t="inlineStr">
        <is>
          <t>Visual implication</t>
        </is>
      </c>
      <c r="I1" s="1" t="inlineStr">
        <is>
          <t>Verification status</t>
        </is>
      </c>
      <c r="J1" s="1" t="inlineStr">
        <is>
          <t>Episodes</t>
        </is>
      </c>
      <c r="K1" s="1" t="inlineStr">
        <is>
          <t>Verified by</t>
        </is>
      </c>
      <c r="L1" s="1" t="inlineStr">
        <is>
          <t>Verified on</t>
        </is>
      </c>
      <c r="M1" s="1" t="inlineStr">
        <is>
          <t>Exact quote (paste)</t>
        </is>
      </c>
      <c r="N1" s="1" t="inlineStr">
        <is>
          <t>URL</t>
        </is>
      </c>
    </row>
    <row r="2">
      <c r="A2" s="2" t="inlineStr">
        <is>
          <t>C-011</t>
        </is>
      </c>
      <c r="B2" s="2" t="inlineStr">
        <is>
          <t>Private wells with electric (submersible) pumps stop delivering water when the power fails</t>
        </is>
      </c>
      <c r="C2" s="2" t="inlineStr">
        <is>
          <t>FACT</t>
        </is>
      </c>
      <c r="D2" s="2" t="inlineStr">
        <is>
          <t>PA Dept. of Health private well factsheet; Michigan EGLE (see research appendix D2 §1a)</t>
        </is>
      </c>
      <c r="E2" s="2" t="inlineStr">
        <is>
          <t>Electric pump, no backup power</t>
        </is>
      </c>
      <c r="F2" s="2" t="inlineStr">
        <is>
          <t>Hand pumps / gravity systems differ</t>
        </is>
      </c>
      <c r="G2" s="2" t="inlineStr">
        <is>
          <t>"His well runs on an electric pump. No power, no water."</t>
        </is>
      </c>
      <c r="H2" s="2" t="inlineStr">
        <is>
          <t>Diagram: power → pump → tap</t>
        </is>
      </c>
      <c r="I2" s="2" t="inlineStr">
        <is>
          <t>SUPPORTED</t>
        </is>
      </c>
      <c r="J2" s="2" t="inlineStr">
        <is>
          <t>REF02; WS-010</t>
        </is>
      </c>
      <c r="K2" s="2" t="inlineStr"/>
      <c r="L2" s="2" t="inlineStr"/>
      <c r="M2" s="2" t="inlineStr"/>
      <c r="N2" s="2" t="inlineStr"/>
    </row>
    <row r="3">
      <c r="A3" s="2" t="inlineStr">
        <is>
          <t>C-012</t>
        </is>
      </c>
      <c r="B3" s="2" t="inlineStr">
        <is>
          <t>Portable generator noise: Honda EU2200i inverter 57 dB(A) (full load) and EB10000 open-frame 73 dB(A), both at 7 m / 23 ft</t>
        </is>
      </c>
      <c r="C3" s="2" t="inlineStr">
        <is>
          <t>FACT</t>
        </is>
      </c>
      <c r="D3" s="2" t="inlineStr">
        <is>
          <t>Honda Power Equipment model pages and generator brochure (powerequipment.honda.com)</t>
        </is>
      </c>
      <c r="E3" s="2" t="inlineStr">
        <is>
          <t>Manufacturer test conditions</t>
        </is>
      </c>
      <c r="F3" s="2" t="inlineStr">
        <is>
          <t>Varies by model and load</t>
        </is>
      </c>
      <c r="G3" s="2" t="inlineStr">
        <is>
          <t>Use ranges, not single numbers</t>
        </is>
      </c>
      <c r="H3" s="2" t="inlineStr">
        <is>
          <t>Amber Sphere radius must be plausible</t>
        </is>
      </c>
      <c r="I3" s="2" t="inlineStr">
        <is>
          <t>SUPPORTED</t>
        </is>
      </c>
      <c r="J3" s="2" t="inlineStr">
        <is>
          <t>REF01/02; WS-003; WS-005</t>
        </is>
      </c>
      <c r="K3" s="2" t="inlineStr"/>
      <c r="L3" s="2" t="inlineStr"/>
      <c r="M3" s="2" t="inlineStr"/>
      <c r="N3" s="2" t="inlineStr"/>
    </row>
    <row r="4">
      <c r="A4" s="2" t="inlineStr">
        <is>
          <t>C-013</t>
        </is>
      </c>
      <c r="B4" s="2" t="inlineStr">
        <is>
          <t>Outdoors, sound from a point source falls about 6 dB per doubling of distance (free field)</t>
        </is>
      </c>
      <c r="C4" s="2" t="inlineStr">
        <is>
          <t>FACT</t>
        </is>
      </c>
      <c r="D4" s="2" t="inlineStr">
        <is>
          <t>OSHA noise pages (osha.gov/noise; OSHA Technical Manual III-5); FHWA construction noise handbook</t>
        </is>
      </c>
      <c r="E4" s="2" t="inlineStr">
        <is>
          <t>Ideal free field</t>
        </is>
      </c>
      <c r="F4" s="2" t="inlineStr">
        <is>
          <t>Wind, terrain, air absorption and background noise change real audibility</t>
        </is>
      </c>
      <c r="G4" s="2" t="inlineStr">
        <is>
          <t>"Sound fades with distance, but in a silent town it carries."</t>
        </is>
      </c>
      <c r="H4" s="2" t="inlineStr">
        <is>
          <t>Sphere fades in opacity with distance</t>
        </is>
      </c>
      <c r="I4" s="2" t="inlineStr">
        <is>
          <t>SUPPORTED</t>
        </is>
      </c>
      <c r="J4" s="2" t="inlineStr">
        <is>
          <t>WS-003; WS-013</t>
        </is>
      </c>
      <c r="K4" s="2" t="inlineStr"/>
      <c r="L4" s="2" t="inlineStr"/>
      <c r="M4" s="2" t="inlineStr"/>
      <c r="N4" s="2" t="inlineStr"/>
    </row>
    <row r="5">
      <c r="A5" s="2" t="inlineStr">
        <is>
          <t>C-020</t>
        </is>
      </c>
      <c r="B5" s="2" t="inlineStr">
        <is>
          <t>Reference story claim: 73 gallons lets a farm with 12 cattle, 1 horse, 30 hens, a dog and a farmer 'survive for weeks'</t>
        </is>
      </c>
      <c r="C5" s="2" t="inlineStr">
        <is>
          <t>FACT (audit)</t>
        </is>
      </c>
      <c r="D5" s="2" t="inlineStr">
        <is>
          <t>Oklahoma State Ext. (beef cows 8.2–13.4 gal/day @40–90°F); NDSU; Purdue/UMN/Iowa State (horse ~10–18 gal/day); Penn State/K-State/UKY (hens 5–10.6 gal/100 birds/day); Cornell/TAMU (dog)</t>
        </is>
      </c>
      <c r="E5" s="2" t="inlineStr">
        <is>
          <t>Non-lactating 1,100 lb cows</t>
        </is>
      </c>
      <c r="F5" s="2" t="inlineStr">
        <is>
          <t>—</t>
        </is>
      </c>
      <c r="G5" s="2" t="inlineStr">
        <is>
          <t>—</t>
        </is>
      </c>
      <c r="H5" s="2" t="inlineStr">
        <is>
          <t>—</t>
        </is>
      </c>
      <c r="I5" s="2" t="inlineStr">
        <is>
          <t>FALSE (≈110–183 gal/day needed; 73 gal lasts &lt;1 day)</t>
        </is>
      </c>
      <c r="J5" s="2" t="inlineStr">
        <is>
          <t>REF02</t>
        </is>
      </c>
      <c r="K5" s="2" t="inlineStr"/>
      <c r="L5" s="2" t="inlineStr"/>
      <c r="M5" s="2" t="inlineStr"/>
      <c r="N5" s="2" t="inlineStr"/>
    </row>
    <row r="6">
      <c r="A6" s="2" t="inlineStr">
        <is>
          <t>C-021</t>
        </is>
      </c>
      <c r="B6" s="2" t="inlineStr">
        <is>
          <t>Reference story claim: a generator heard across ~3 miles (4.8 km) of fields</t>
        </is>
      </c>
      <c r="C6" s="2" t="inlineStr">
        <is>
          <t>FACT (audit)</t>
        </is>
      </c>
      <c r="D6" s="2" t="inlineStr">
        <is>
          <t>Derived: C-012 + C-013 (57–73 dB(A)@7 m minus 20·log10(4800/7) ≈ 56.7 dB → ≈0–16 dB(A) before air absorption)</t>
        </is>
      </c>
      <c r="E6" s="2" t="inlineStr">
        <is>
          <t>Spherical spreading only</t>
        </is>
      </c>
      <c r="F6" s="2" t="inlineStr">
        <is>
          <t>Quiet nights, wind and terrain can extend audibility; air absorption reduces it</t>
        </is>
      </c>
      <c r="G6" s="2" t="inlineStr">
        <is>
          <t>—</t>
        </is>
      </c>
      <c r="H6" s="2" t="inlineStr">
        <is>
          <t>—</t>
        </is>
      </c>
      <c r="I6" s="2" t="inlineStr">
        <is>
          <t>QUALIFIED (doubtful at that distance)</t>
        </is>
      </c>
      <c r="J6" s="2" t="inlineStr">
        <is>
          <t>REF01</t>
        </is>
      </c>
      <c r="K6" s="2" t="inlineStr"/>
      <c r="L6" s="2" t="inlineStr"/>
      <c r="M6" s="2" t="inlineStr"/>
      <c r="N6" s="2" t="inlineStr"/>
    </row>
    <row r="7">
      <c r="A7" s="2" t="inlineStr">
        <is>
          <t>C-022</t>
        </is>
      </c>
      <c r="B7" s="2" t="inlineStr">
        <is>
          <t>Bathtub water stored before a storm is for flushing and cleaning, not drinking unless the tub is clean and the water treated</t>
        </is>
      </c>
      <c r="C7" s="2" t="inlineStr">
        <is>
          <t>FACT</t>
        </is>
      </c>
      <c r="D7" s="2" t="inlineStr">
        <is>
          <t>NWS hurricane safety PDF; UF/IFAS FS131; CDC flood guidance</t>
        </is>
      </c>
      <c r="E7" s="2" t="inlineStr">
        <is>
          <t>—</t>
        </is>
      </c>
      <c r="F7" s="2" t="inlineStr">
        <is>
          <t>Follow local advice</t>
        </is>
      </c>
      <c r="G7" s="2" t="inlineStr">
        <is>
          <t>"Tub water is for flushing, not drinking."</t>
        </is>
      </c>
      <c r="H7" s="2" t="inlineStr">
        <is>
          <t>Label tub 'FLUSHING'</t>
        </is>
      </c>
      <c r="I7" s="2" t="inlineStr">
        <is>
          <t>QUALIFIED</t>
        </is>
      </c>
      <c r="J7" s="2" t="inlineStr">
        <is>
          <t>WS-010</t>
        </is>
      </c>
      <c r="K7" s="2" t="inlineStr"/>
      <c r="L7" s="2" t="inlineStr"/>
      <c r="M7" s="2" t="inlineStr"/>
      <c r="N7" s="2" t="inlineStr"/>
    </row>
    <row r="8">
      <c r="A8" s="2" t="inlineStr">
        <is>
          <t>C-101</t>
        </is>
      </c>
      <c r="B8" s="2" t="inlineStr">
        <is>
          <t>Exhaled breath becomes visible as condensation in cold air</t>
        </is>
      </c>
      <c r="C8" s="2" t="inlineStr">
        <is>
          <t>FACT</t>
        </is>
      </c>
      <c r="D8" s="2" t="inlineStr">
        <is>
          <t>General atmospheric physics (condensation of warm moist breath in cold air). No agency page retrieved this session</t>
        </is>
      </c>
      <c r="E8" s="2" t="inlineStr">
        <is>
          <t>Cold, fairly humid night</t>
        </is>
      </c>
      <c r="F8" s="2" t="inlineStr">
        <is>
          <t>Visibility depends on temperature and humidity; no fixed threshold stated</t>
        </is>
      </c>
      <c r="G8" s="2" t="inlineStr">
        <is>
          <t>"On a cold night, you can see living people breathe." (no number)</t>
        </is>
      </c>
      <c r="H8" s="2" t="inlineStr">
        <is>
          <t>Breath puffs only outdoors in cold; indoors warm = no puffs</t>
        </is>
      </c>
      <c r="I8" s="2" t="inlineStr">
        <is>
          <t>UNVERIFIED (low risk; add one citable source, e.g. a NOAA/NWS or university explainer)</t>
        </is>
      </c>
      <c r="J8" s="2" t="inlineStr">
        <is>
          <t>WS-001</t>
        </is>
      </c>
      <c r="K8" s="2" t="inlineStr"/>
      <c r="L8" s="2" t="inlineStr"/>
      <c r="M8" s="2" t="inlineStr"/>
      <c r="N8" s="2" t="inlineStr"/>
    </row>
    <row r="9">
      <c r="A9" s="2" t="inlineStr">
        <is>
          <t>C-102</t>
        </is>
      </c>
      <c r="B9" s="2" t="inlineStr">
        <is>
          <t>The Turned do not breathe (no breath fog)</t>
        </is>
      </c>
      <c r="C9" s="2" t="inlineStr">
        <is>
          <t>FICTION</t>
        </is>
      </c>
      <c r="D9" s="2" t="inlineStr">
        <is>
          <t>WR-02</t>
        </is>
      </c>
      <c r="E9" s="2" t="inlineStr">
        <is>
          <t>—</t>
        </is>
      </c>
      <c r="F9" s="2" t="inlineStr">
        <is>
          <t>Fiction scenario label</t>
        </is>
      </c>
      <c r="G9" s="2" t="inlineStr">
        <is>
          <t>"The Turned don't breathe."</t>
        </is>
      </c>
      <c r="H9" s="2" t="inlineStr">
        <is>
          <t>No puffs on Turned; plant several in background shots</t>
        </is>
      </c>
      <c r="I9" s="2" t="inlineStr">
        <is>
          <t>FICTION</t>
        </is>
      </c>
      <c r="J9" s="2" t="inlineStr">
        <is>
          <t>WS-001; WS-009; WS-016</t>
        </is>
      </c>
      <c r="K9" s="2" t="inlineStr"/>
      <c r="L9" s="2" t="inlineStr"/>
      <c r="M9" s="2" t="inlineStr"/>
      <c r="N9" s="2" t="inlineStr"/>
    </row>
    <row r="10">
      <c r="A10" s="2" t="inlineStr">
        <is>
          <t>C-103</t>
        </is>
      </c>
      <c r="B10" s="2" t="inlineStr">
        <is>
          <t>The Turned can push but cannot pull doors or turn handles</t>
        </is>
      </c>
      <c r="C10" s="2" t="inlineStr">
        <is>
          <t>FICTION</t>
        </is>
      </c>
      <c r="D10" s="2" t="inlineStr">
        <is>
          <t>WR-04</t>
        </is>
      </c>
      <c r="E10" s="2" t="inlineStr">
        <is>
          <t>—</t>
        </is>
      </c>
      <c r="F10" s="2" t="inlineStr">
        <is>
          <t>—</t>
        </is>
      </c>
      <c r="G10" s="2" t="inlineStr">
        <is>
          <t>—</t>
        </is>
      </c>
      <c r="H10" s="2" t="inlineStr">
        <is>
          <t>Door arrows</t>
        </is>
      </c>
      <c r="I10" s="2" t="inlineStr">
        <is>
          <t>FICTION</t>
        </is>
      </c>
      <c r="J10" s="2" t="inlineStr">
        <is>
          <t>WS-001; WS-003; WS-011; WS-013; WS-019</t>
        </is>
      </c>
      <c r="K10" s="2" t="inlineStr"/>
      <c r="L10" s="2" t="inlineStr"/>
      <c r="M10" s="2" t="inlineStr"/>
      <c r="N10" s="2" t="inlineStr"/>
    </row>
    <row r="11">
      <c r="A11" s="2" t="inlineStr">
        <is>
          <t>C-104</t>
        </is>
      </c>
      <c r="B11" s="2" t="inlineStr">
        <is>
          <t>In-story emergency alert must not copy the real Wireless Emergency Alert layout</t>
        </is>
      </c>
      <c r="C11" s="2" t="inlineStr">
        <is>
          <t>DESIGN RULE</t>
        </is>
      </c>
      <c r="D11" s="2" t="inlineStr">
        <is>
          <t>YouTube violent/graphic policy context on fictional footage needing clear context (research appendix B §8)</t>
        </is>
      </c>
      <c r="E11" s="2" t="inlineStr">
        <is>
          <t>—</t>
        </is>
      </c>
      <c r="F11" s="2" t="inlineStr">
        <is>
          <t>—</t>
        </is>
      </c>
      <c r="G11" s="2" t="inlineStr">
        <is>
          <t>Use an original 'CITY ALERT' card design</t>
        </is>
      </c>
      <c r="H11" s="2" t="inlineStr">
        <is>
          <t>Stylised, clearly animated UI</t>
        </is>
      </c>
      <c r="I11" s="2" t="inlineStr">
        <is>
          <t>DESIGN RULE</t>
        </is>
      </c>
      <c r="J11" s="2" t="inlineStr">
        <is>
          <t>WS-001</t>
        </is>
      </c>
      <c r="K11" s="2" t="inlineStr"/>
      <c r="L11" s="2" t="inlineStr"/>
      <c r="M11" s="2" t="inlineStr"/>
      <c r="N11" s="2" t="inlineStr"/>
    </row>
    <row r="12">
      <c r="A12" s="2" t="inlineStr">
        <is>
          <t>C-201</t>
        </is>
      </c>
      <c r="B12" s="2" t="inlineStr">
        <is>
          <t>In field tests, vehicles floated about 15–63 s before water reached the bottom of the side windows</t>
        </is>
      </c>
      <c r="C12" s="2" t="inlineStr">
        <is>
          <t>FACT</t>
        </is>
      </c>
      <c r="D12" s="2" t="inlineStr">
        <is>
          <t>Giesbrecht &amp; McDonald 2010, Aviat Space Environ Med (PubMed 20681239)</t>
        </is>
      </c>
      <c r="E12" s="2" t="inlineStr">
        <is>
          <t>Calm water, small sample</t>
        </is>
      </c>
      <c r="F12" s="2" t="inlineStr">
        <is>
          <t>Times vary by vehicle and conditions</t>
        </is>
      </c>
      <c r="G12" s="2" t="inlineStr">
        <is>
          <t>"In tests, cars floated about 15 seconds to a minute before water reached the windows."</t>
        </is>
      </c>
      <c r="H12" s="2" t="inlineStr">
        <is>
          <t>T1 timer starts ≈00:60 and is labelled 'about'</t>
        </is>
      </c>
      <c r="I12" s="2" t="inlineStr">
        <is>
          <t>SUPPORTED (confirm abstract wording)</t>
        </is>
      </c>
      <c r="J12" s="2" t="inlineStr">
        <is>
          <t>WS-002</t>
        </is>
      </c>
      <c r="K12" s="2" t="inlineStr"/>
      <c r="L12" s="2" t="inlineStr"/>
      <c r="M12" s="2" t="inlineStr"/>
      <c r="N12" s="2" t="inlineStr"/>
    </row>
    <row r="13">
      <c r="A13" s="2" t="inlineStr">
        <is>
          <t>C-202</t>
        </is>
      </c>
      <c r="B13" s="2" t="inlineStr">
        <is>
          <t>Water pressure pins the doors; they usually won't open until the car is almost full</t>
        </is>
      </c>
      <c r="C13" s="2" t="inlineStr">
        <is>
          <t>FACT</t>
        </is>
      </c>
      <c r="D13" s="2" t="inlineStr">
        <is>
          <t>Giesbrecht &amp; McDonald 2010 (PubMed 20681239); University of Manitoba (Giesbrecht faculty page)</t>
        </is>
      </c>
      <c r="E13" s="2" t="inlineStr">
        <is>
          <t>—</t>
        </is>
      </c>
      <c r="F13" s="2" t="inlineStr">
        <is>
          <t>—</t>
        </is>
      </c>
      <c r="G13" s="2" t="inlineStr">
        <is>
          <t>"Water is pressing on the door. It won't open until the car is nearly full."</t>
        </is>
      </c>
      <c r="H13" s="2" t="inlineStr">
        <is>
          <t>Cyan pressure arrows on door; Owen's push fails</t>
        </is>
      </c>
      <c r="I13" s="2" t="inlineStr">
        <is>
          <t>SUPPORTED</t>
        </is>
      </c>
      <c r="J13" s="2" t="inlineStr">
        <is>
          <t>WS-002</t>
        </is>
      </c>
      <c r="K13" s="2" t="inlineStr"/>
      <c r="L13" s="2" t="inlineStr"/>
      <c r="M13" s="2" t="inlineStr"/>
      <c r="N13" s="2" t="inlineStr"/>
    </row>
    <row r="14">
      <c r="A14" s="2" t="inlineStr">
        <is>
          <t>C-203</t>
        </is>
      </c>
      <c r="B14" s="2" t="inlineStr">
        <is>
          <t>Escape is easiest during the initial floating phase, through a side window</t>
        </is>
      </c>
      <c r="C14" s="2" t="inlineStr">
        <is>
          <t>FACT</t>
        </is>
      </c>
      <c r="D14" s="2" t="inlineStr">
        <is>
          <t>Giesbrecht &amp; McDonald 2010; U. Manitoba</t>
        </is>
      </c>
      <c r="E14" s="2" t="inlineStr">
        <is>
          <t>—</t>
        </is>
      </c>
      <c r="F14" s="2" t="inlineStr">
        <is>
          <t>—</t>
        </is>
      </c>
      <c r="G14" s="2" t="inlineStr">
        <is>
          <t>"The way out is the window, while the car is still floating."</t>
        </is>
      </c>
      <c r="H14" s="2" t="inlineStr">
        <is>
          <t>Window exit before waterline reaches glass</t>
        </is>
      </c>
      <c r="I14" s="2" t="inlineStr">
        <is>
          <t>SUPPORTED</t>
        </is>
      </c>
      <c r="J14" s="2" t="inlineStr">
        <is>
          <t>WS-002</t>
        </is>
      </c>
      <c r="K14" s="2" t="inlineStr"/>
      <c r="L14" s="2" t="inlineStr"/>
      <c r="M14" s="2" t="inlineStr"/>
      <c r="N14" s="2" t="inlineStr"/>
    </row>
    <row r="15">
      <c r="A15" s="2" t="inlineStr">
        <is>
          <t>C-204</t>
        </is>
      </c>
      <c r="B15" s="2" t="inlineStr">
        <is>
          <t>You have about one minute to exit safely (a car may float up to ~3 minutes)</t>
        </is>
      </c>
      <c r="C15" s="2" t="inlineStr">
        <is>
          <t>FACT</t>
        </is>
      </c>
      <c r="D15" s="2" t="inlineStr">
        <is>
          <t>University of Manitoba (Giesbrecht) — paraphrase via search extract</t>
        </is>
      </c>
      <c r="E15" s="2" t="inlineStr">
        <is>
          <t>—</t>
        </is>
      </c>
      <c r="F15" s="2" t="inlineStr">
        <is>
          <t>Rule of thumb</t>
        </is>
      </c>
      <c r="G15" s="2" t="inlineStr">
        <is>
          <t>"You have about one minute."</t>
        </is>
      </c>
      <c r="H15" s="2" t="inlineStr">
        <is>
          <t>—</t>
        </is>
      </c>
      <c r="I15" s="2" t="inlineStr">
        <is>
          <t>QUALIFIED (confirm live wording)</t>
        </is>
      </c>
      <c r="J15" s="2" t="inlineStr">
        <is>
          <t>WS-002</t>
        </is>
      </c>
      <c r="K15" s="2" t="inlineStr"/>
      <c r="L15" s="2" t="inlineStr"/>
      <c r="M15" s="2" t="inlineStr"/>
      <c r="N15" s="2" t="inlineStr"/>
    </row>
    <row r="16">
      <c r="A16" s="2" t="inlineStr">
        <is>
          <t>C-205</t>
        </is>
      </c>
      <c r="B16" s="2" t="inlineStr">
        <is>
          <t>Order of the first two actions: seatbelt off then window, or window then seatbelt</t>
        </is>
      </c>
      <c r="C16" s="2" t="inlineStr">
        <is>
          <t>FACT</t>
        </is>
      </c>
      <c r="D16" s="2" t="inlineStr">
        <is>
          <t>U. Manitoba lists 'Seatbelts off, Windows open… Out'; CBS (2024) reports Giesbrecht reversed the order — not confirmed</t>
        </is>
      </c>
      <c r="E16" s="2" t="inlineStr">
        <is>
          <t>—</t>
        </is>
      </c>
      <c r="F16" s="2" t="inlineStr">
        <is>
          <t>—</t>
        </is>
      </c>
      <c r="G16" s="2" t="inlineStr">
        <is>
          <t>Script carries Version A and Version B; use the order in the current Giesbrecht/U. Manitoba guidance</t>
        </is>
      </c>
      <c r="H16" s="2" t="inlineStr">
        <is>
          <t>Animatic must match the chosen order</t>
        </is>
      </c>
      <c r="I16" s="2" t="inlineStr">
        <is>
          <t>UNVERIFIED — BLOCKING</t>
        </is>
      </c>
      <c r="J16" s="2" t="inlineStr">
        <is>
          <t>WS-002</t>
        </is>
      </c>
      <c r="K16" s="2" t="inlineStr"/>
      <c r="L16" s="2" t="inlineStr"/>
      <c r="M16" s="2" t="inlineStr"/>
      <c r="N16" s="2" t="inlineStr"/>
    </row>
    <row r="17">
      <c r="A17" s="2" t="inlineStr">
        <is>
          <t>C-206</t>
        </is>
      </c>
      <c r="B17" s="2" t="inlineStr">
        <is>
          <t>Keep a window-breaking tool within the driver's reach; break a side window, not the windshield</t>
        </is>
      </c>
      <c r="C17" s="2" t="inlineStr">
        <is>
          <t>FACT</t>
        </is>
      </c>
      <c r="D17" s="2" t="inlineStr">
        <is>
          <t>McDonald &amp; Giesbrecht 2013 review (Aviat Space Environ Med; PDF via Kids and Cars); Giesbrecht via CBS</t>
        </is>
      </c>
      <c r="E17" s="2" t="inlineStr">
        <is>
          <t>—</t>
        </is>
      </c>
      <c r="F17" s="2" t="inlineStr">
        <is>
          <t>Some newer vehicles have laminated side glass that tools may not break (UNVERIFIED) — mention in description only</t>
        </is>
      </c>
      <c r="G17" s="2" t="inlineStr">
        <is>
          <t>"Keep a window tool where you can reach it."</t>
        </is>
      </c>
      <c r="H17" s="2" t="inlineStr">
        <is>
          <t>Punch tool on Owen's keyring hits corner of side window</t>
        </is>
      </c>
      <c r="I17" s="2" t="inlineStr">
        <is>
          <t>QUALIFIED</t>
        </is>
      </c>
      <c r="J17" s="2" t="inlineStr">
        <is>
          <t>WS-002</t>
        </is>
      </c>
      <c r="K17" s="2" t="inlineStr"/>
      <c r="L17" s="2" t="inlineStr"/>
      <c r="M17" s="2" t="inlineStr"/>
      <c r="N17" s="2" t="inlineStr"/>
    </row>
    <row r="18">
      <c r="A18" s="2" t="inlineStr">
        <is>
          <t>C-207</t>
        </is>
      </c>
      <c r="B18" s="2" t="inlineStr">
        <is>
          <t>Laminated side glass may resist window-punch tools</t>
        </is>
      </c>
      <c r="C18" s="2" t="inlineStr">
        <is>
          <t>FACT</t>
        </is>
      </c>
      <c r="D18" s="2" t="inlineStr">
        <is>
          <t>NHTSA / manufacturers (not verified)</t>
        </is>
      </c>
      <c r="E18" s="2" t="inlineStr">
        <is>
          <t>—</t>
        </is>
      </c>
      <c r="F18" s="2" t="inlineStr">
        <is>
          <t>—</t>
        </is>
      </c>
      <c r="G18" s="2" t="inlineStr">
        <is>
          <t>Not on screen</t>
        </is>
      </c>
      <c r="H18" s="2" t="inlineStr">
        <is>
          <t>—</t>
        </is>
      </c>
      <c r="I18" s="2" t="inlineStr">
        <is>
          <t>UNVERIFIED (description caveat only)</t>
        </is>
      </c>
      <c r="J18" s="2" t="inlineStr">
        <is>
          <t>WS-002</t>
        </is>
      </c>
      <c r="K18" s="2" t="inlineStr"/>
      <c r="L18" s="2" t="inlineStr"/>
      <c r="M18" s="2" t="inlineStr"/>
      <c r="N18" s="2" t="inlineStr"/>
    </row>
    <row r="19">
      <c r="A19" s="2" t="inlineStr">
        <is>
          <t>C-401</t>
        </is>
      </c>
      <c r="B19" s="2" t="inlineStr">
        <is>
          <t>Drop, Cover, and Hold On is the recommended action during shaking</t>
        </is>
      </c>
      <c r="C19" s="2" t="inlineStr">
        <is>
          <t>FACT</t>
        </is>
      </c>
      <c r="D19" s="2" t="inlineStr">
        <is>
          <t>Earthquake Country Alliance handout (State of Alaska DHS&amp;EM); USGS 'What should I do during an earthquake?'</t>
        </is>
      </c>
      <c r="E19" s="2" t="inlineStr">
        <is>
          <t>—</t>
        </is>
      </c>
      <c r="F19" s="2" t="inlineStr">
        <is>
          <t>If no table: cover head/neck against an interior wall</t>
        </is>
      </c>
      <c r="G19" s="2" t="inlineStr">
        <is>
          <t>"Drop. Cover. Hold on."</t>
        </is>
      </c>
      <c r="H19" s="2" t="inlineStr">
        <is>
          <t>Drop to knees, under sturdy table, hold the leg</t>
        </is>
      </c>
      <c r="I19" s="2" t="inlineStr">
        <is>
          <t>SUPPORTED</t>
        </is>
      </c>
      <c r="J19" s="2" t="inlineStr">
        <is>
          <t>WS-004</t>
        </is>
      </c>
      <c r="K19" s="2" t="inlineStr"/>
      <c r="L19" s="2" t="inlineStr"/>
      <c r="M19" s="2" t="inlineStr"/>
      <c r="N19" s="2" t="inlineStr"/>
    </row>
    <row r="20">
      <c r="A20" s="2" t="inlineStr">
        <is>
          <t>C-402</t>
        </is>
      </c>
      <c r="B20" s="2" t="inlineStr">
        <is>
          <t>In modern homes doorways are no stronger than other parts of the house, and the door can swing and injure you</t>
        </is>
      </c>
      <c r="C20" s="2" t="inlineStr">
        <is>
          <t>FACT</t>
        </is>
      </c>
      <c r="D20" s="2" t="inlineStr">
        <is>
          <t>USGS 'Earthquake facts &amp; fantasy'; FEMA P-530</t>
        </is>
      </c>
      <c r="E20" s="2" t="inlineStr">
        <is>
          <t>Modern construction</t>
        </is>
      </c>
      <c r="F20" s="2" t="inlineStr">
        <is>
          <t>Old adobe houses are the myth's origin</t>
        </is>
      </c>
      <c r="G20" s="2" t="inlineStr">
        <is>
          <t>"A doorway is no stronger than any other wall, and the door can swing into you."</t>
        </is>
      </c>
      <c r="H20" s="2" t="inlineStr">
        <is>
          <t>Door swings shut on the doorway-stander</t>
        </is>
      </c>
      <c r="I20" s="2" t="inlineStr">
        <is>
          <t>SUPPORTED</t>
        </is>
      </c>
      <c r="J20" s="2" t="inlineStr">
        <is>
          <t>WS-004</t>
        </is>
      </c>
      <c r="K20" s="2" t="inlineStr"/>
      <c r="L20" s="2" t="inlineStr"/>
      <c r="M20" s="2" t="inlineStr"/>
      <c r="N20" s="2" t="inlineStr"/>
    </row>
    <row r="21">
      <c r="A21" s="2" t="inlineStr">
        <is>
          <t>C-403</t>
        </is>
      </c>
      <c r="B21" s="2" t="inlineStr">
        <is>
          <t>Don't run outside during shaking; leave a damaged building after shaking stops</t>
        </is>
      </c>
      <c r="C21" s="2" t="inlineStr">
        <is>
          <t>FACT</t>
        </is>
      </c>
      <c r="D21" s="2" t="inlineStr">
        <is>
          <t>USGS FAQ; USGS HVO; Ready.gov</t>
        </is>
      </c>
      <c r="E21" s="2" t="inlineStr">
        <is>
          <t>—</t>
        </is>
      </c>
      <c r="F21" s="2" t="inlineStr">
        <is>
          <t>Outdoors already: stay in the open away from buildings and lines</t>
        </is>
      </c>
      <c r="G21" s="2" t="inlineStr">
        <is>
          <t>"Don't run while it's shaking. When it stops, if the building is damaged, get out."</t>
        </is>
      </c>
      <c r="H21" s="2" t="inlineStr">
        <is>
          <t>Glass falls near exit during shaking</t>
        </is>
      </c>
      <c r="I21" s="2" t="inlineStr">
        <is>
          <t>QUALIFIED</t>
        </is>
      </c>
      <c r="J21" s="2" t="inlineStr">
        <is>
          <t>WS-004</t>
        </is>
      </c>
      <c r="K21" s="2" t="inlineStr"/>
      <c r="L21" s="2" t="inlineStr"/>
      <c r="M21" s="2" t="inlineStr"/>
      <c r="N21" s="2" t="inlineStr"/>
    </row>
    <row r="22">
      <c r="A22" s="2" t="inlineStr">
        <is>
          <t>C-404</t>
        </is>
      </c>
      <c r="B22" s="2" t="inlineStr">
        <is>
          <t>Aftershocks can follow for hours to months</t>
        </is>
      </c>
      <c r="C22" s="2" t="inlineStr">
        <is>
          <t>FACT</t>
        </is>
      </c>
      <c r="D22" s="2" t="inlineStr">
        <is>
          <t>FEMA fact sheet; USGS; Ready.gov</t>
        </is>
      </c>
      <c r="E22" s="2" t="inlineStr">
        <is>
          <t>—</t>
        </is>
      </c>
      <c r="F22" s="2" t="inlineStr">
        <is>
          <t>Usually smaller</t>
        </is>
      </c>
      <c r="G22" s="2" t="inlineStr">
        <is>
          <t>"Then the aftershock."</t>
        </is>
      </c>
      <c r="H22" s="2" t="inlineStr">
        <is>
          <t>Second smaller shake; repeat pose</t>
        </is>
      </c>
      <c r="I22" s="2" t="inlineStr">
        <is>
          <t>SUPPORTED</t>
        </is>
      </c>
      <c r="J22" s="2" t="inlineStr">
        <is>
          <t>WS-004</t>
        </is>
      </c>
      <c r="K22" s="2" t="inlineStr"/>
      <c r="L22" s="2" t="inlineStr"/>
      <c r="M22" s="2" t="inlineStr"/>
      <c r="N22" s="2" t="inlineStr"/>
    </row>
    <row r="23">
      <c r="A23" s="2" t="inlineStr">
        <is>
          <t>C-501</t>
        </is>
      </c>
      <c r="B23" s="2" t="inlineStr">
        <is>
          <t>Never run a portable generator indoors or in a garage, even with doors or windows open</t>
        </is>
      </c>
      <c r="C23" s="2" t="inlineStr">
        <is>
          <t>FACT</t>
        </is>
      </c>
      <c r="D23" s="2" t="inlineStr">
        <is>
          <t>CPSC 2026 news releases on generator CO</t>
        </is>
      </c>
      <c r="E23" s="2" t="inlineStr">
        <is>
          <t>—</t>
        </is>
      </c>
      <c r="F23" s="2" t="inlineStr">
        <is>
          <t>—</t>
        </is>
      </c>
      <c r="G23" s="2" t="inlineStr">
        <is>
          <t>"Never in the garage. Not even with the door open."</t>
        </is>
      </c>
      <c r="H23" s="2" t="inlineStr">
        <is>
          <t>Garage door half open, Gas-Violet Sphere filling the house</t>
        </is>
      </c>
      <c r="I23" s="2" t="inlineStr">
        <is>
          <t>SUPPORTED</t>
        </is>
      </c>
      <c r="J23" s="2" t="inlineStr">
        <is>
          <t>WS-005; WS-010</t>
        </is>
      </c>
      <c r="K23" s="2" t="inlineStr"/>
      <c r="L23" s="2" t="inlineStr"/>
      <c r="M23" s="2" t="inlineStr"/>
      <c r="N23" s="2" t="inlineStr"/>
    </row>
    <row r="24">
      <c r="A24" s="2" t="inlineStr">
        <is>
          <t>C-502</t>
        </is>
      </c>
      <c r="B24" s="2" t="inlineStr">
        <is>
          <t>Keep a generator at least 20 ft (6 m) from windows, doors and vents</t>
        </is>
      </c>
      <c r="C24" s="2" t="inlineStr">
        <is>
          <t>FACT</t>
        </is>
      </c>
      <c r="D24" s="2" t="inlineStr">
        <is>
          <t>CDC CO PSA toolkit; FEMA</t>
        </is>
      </c>
      <c r="E24" s="2" t="inlineStr">
        <is>
          <t>—</t>
        </is>
      </c>
      <c r="F24" s="2" t="inlineStr">
        <is>
          <t>Agencies vary slightly in wording; 20 ft is the CDC figure</t>
        </is>
      </c>
      <c r="G24" s="2" t="inlineStr">
        <is>
          <t>"At least twenty feet from the house."</t>
        </is>
      </c>
      <c r="H24" s="2" t="inlineStr">
        <is>
          <t>Measured tick on Sphere: '≥20 FT'</t>
        </is>
      </c>
      <c r="I24" s="2" t="inlineStr">
        <is>
          <t>SUPPORTED</t>
        </is>
      </c>
      <c r="J24" s="2" t="inlineStr">
        <is>
          <t>WS-005</t>
        </is>
      </c>
      <c r="K24" s="2" t="inlineStr"/>
      <c r="L24" s="2" t="inlineStr"/>
      <c r="M24" s="2" t="inlineStr"/>
      <c r="N24" s="2" t="inlineStr"/>
    </row>
    <row r="25">
      <c r="A25" s="2" t="inlineStr">
        <is>
          <t>C-503</t>
        </is>
      </c>
      <c r="B25" s="2" t="inlineStr">
        <is>
          <t>Carbon monoxide is colourless and odourless</t>
        </is>
      </c>
      <c r="C25" s="2" t="inlineStr">
        <is>
          <t>FACT</t>
        </is>
      </c>
      <c r="D25" s="2" t="inlineStr">
        <is>
          <t>CDC clinical guidance; CDC blog</t>
        </is>
      </c>
      <c r="E25" s="2" t="inlineStr">
        <is>
          <t>—</t>
        </is>
      </c>
      <c r="F25" s="2" t="inlineStr">
        <is>
          <t>—</t>
        </is>
      </c>
      <c r="G25" s="2" t="inlineStr">
        <is>
          <t>"You can't see it. You can't smell it."</t>
        </is>
      </c>
      <c r="H25" s="2" t="inlineStr">
        <is>
          <t>Violet Sphere is the only visual cue</t>
        </is>
      </c>
      <c r="I25" s="2" t="inlineStr">
        <is>
          <t>SUPPORTED</t>
        </is>
      </c>
      <c r="J25" s="2" t="inlineStr">
        <is>
          <t>WS-005</t>
        </is>
      </c>
      <c r="K25" s="2" t="inlineStr"/>
      <c r="L25" s="2" t="inlineStr"/>
      <c r="M25" s="2" t="inlineStr"/>
      <c r="N25" s="2" t="inlineStr"/>
    </row>
    <row r="26">
      <c r="A26" s="2" t="inlineStr">
        <is>
          <t>C-504</t>
        </is>
      </c>
      <c r="B26" s="2" t="inlineStr">
        <is>
          <t>CO poisoning symptoms include headache, dizziness, weakness, nausea and confusion</t>
        </is>
      </c>
      <c r="C26" s="2" t="inlineStr">
        <is>
          <t>FACT</t>
        </is>
      </c>
      <c r="D26" s="2" t="inlineStr">
        <is>
          <t>CDC HAN 2020 (archive.cdc.gov)</t>
        </is>
      </c>
      <c r="E26" s="2" t="inlineStr">
        <is>
          <t>—</t>
        </is>
      </c>
      <c r="F26" s="2" t="inlineStr">
        <is>
          <t>Symptoms can resemble flu; sleeping people may not wake</t>
        </is>
      </c>
      <c r="G26" s="2" t="inlineStr">
        <is>
          <t>"Headache. Dizzy. Sleepy. That's not the flu."</t>
        </is>
      </c>
      <c r="H26" s="2" t="inlineStr">
        <is>
          <t>Neighbour rubbing temples</t>
        </is>
      </c>
      <c r="I26" s="2" t="inlineStr">
        <is>
          <t>SUPPORTED</t>
        </is>
      </c>
      <c r="J26" s="2" t="inlineStr">
        <is>
          <t>WS-005</t>
        </is>
      </c>
      <c r="K26" s="2" t="inlineStr"/>
      <c r="L26" s="2" t="inlineStr"/>
      <c r="M26" s="2" t="inlineStr"/>
      <c r="N26" s="2" t="inlineStr"/>
    </row>
    <row r="27">
      <c r="A27" s="2" t="inlineStr">
        <is>
          <t>C-505</t>
        </is>
      </c>
      <c r="B27" s="2" t="inlineStr">
        <is>
          <t>Install battery-backed CO alarms</t>
        </is>
      </c>
      <c r="C27" s="2" t="inlineStr">
        <is>
          <t>FACT</t>
        </is>
      </c>
      <c r="D27" s="2" t="inlineStr">
        <is>
          <t>CDC/CPSC (commonly advised; not retrieved this session)</t>
        </is>
      </c>
      <c r="E27" s="2" t="inlineStr">
        <is>
          <t>—</t>
        </is>
      </c>
      <c r="F27" s="2" t="inlineStr">
        <is>
          <t>—</t>
        </is>
      </c>
      <c r="G27" s="2" t="inlineStr">
        <is>
          <t>REAL RULE line option</t>
        </is>
      </c>
      <c r="H27" s="2" t="inlineStr">
        <is>
          <t>Alarm on wall chirping</t>
        </is>
      </c>
      <c r="I27" s="2" t="inlineStr">
        <is>
          <t>UNVERIFIED — BLOCKING if used</t>
        </is>
      </c>
      <c r="J27" s="2" t="inlineStr">
        <is>
          <t>WS-005</t>
        </is>
      </c>
      <c r="K27" s="2" t="inlineStr"/>
      <c r="L27" s="2" t="inlineStr"/>
      <c r="M27" s="2" t="inlineStr"/>
      <c r="N27" s="2" t="inlineStr"/>
    </row>
    <row r="28">
      <c r="A28" s="2" t="inlineStr">
        <is>
          <t>C-506</t>
        </is>
      </c>
      <c r="B28" s="2" t="inlineStr">
        <is>
          <t>If carbon monoxide poisoning is suspected, get everyone out into fresh air right away and call emergency services</t>
        </is>
      </c>
      <c r="C28" s="2" t="inlineStr">
        <is>
          <t>FACT</t>
        </is>
      </c>
      <c r="D28" s="2" t="inlineStr">
        <is>
          <t>CDC / CPSC first-response guidance (07 §4 standard wording; the specific page wording was not retrieved this session)</t>
        </is>
      </c>
      <c r="E28" s="2" t="inlineStr">
        <is>
          <t>—</t>
        </is>
      </c>
      <c r="F28" s="2" t="inlineStr">
        <is>
          <t>No medical advice beyond this first response</t>
        </is>
      </c>
      <c r="G28" s="2" t="inlineStr">
        <is>
          <t>"Fresh air first. Then call for help."</t>
        </is>
      </c>
      <c r="H28" s="2" t="inlineStr">
        <is>
          <t>Owen walks the family out into the snow before anything else; phone call outside</t>
        </is>
      </c>
      <c r="I28" s="2" t="inlineStr">
        <is>
          <t>UNVERIFIED — BLOCKING</t>
        </is>
      </c>
      <c r="J28" s="2" t="inlineStr">
        <is>
          <t>WS-005</t>
        </is>
      </c>
      <c r="K28" s="2" t="inlineStr"/>
      <c r="L28" s="2" t="inlineStr"/>
      <c r="M28" s="2" t="inlineStr"/>
      <c r="N28" s="2" t="inlineStr"/>
    </row>
    <row r="29">
      <c r="A29" s="2" t="inlineStr">
        <is>
          <t>C-801</t>
        </is>
      </c>
      <c r="B29" s="2" t="inlineStr">
        <is>
          <t>Do not shelter under a highway overpass; wind can accelerate (tunnelling)</t>
        </is>
      </c>
      <c r="C29" s="2" t="inlineStr">
        <is>
          <t>FACT</t>
        </is>
      </c>
      <c r="D29" s="2" t="inlineStr">
        <is>
          <t>NWS Birmingham safety rules; NWS Mobile; NOAA report on 3 May 1999 outbreak</t>
        </is>
      </c>
      <c r="E29" s="2" t="inlineStr">
        <is>
          <t>—</t>
        </is>
      </c>
      <c r="F29" s="2" t="inlineStr">
        <is>
          <t>—</t>
        </is>
      </c>
      <c r="G29" s="2" t="inlineStr">
        <is>
          <t>"An overpass can funnel the wind and the debris right at you."</t>
        </is>
      </c>
      <c r="H29" s="2" t="inlineStr">
        <is>
          <t>Never show overpass as safe</t>
        </is>
      </c>
      <c r="I29" s="2" t="inlineStr">
        <is>
          <t>SUPPORTED</t>
        </is>
      </c>
      <c r="J29" s="2" t="inlineStr">
        <is>
          <t>WS-008</t>
        </is>
      </c>
      <c r="K29" s="2" t="inlineStr"/>
      <c r="L29" s="2" t="inlineStr"/>
      <c r="M29" s="2" t="inlineStr"/>
      <c r="N29" s="2" t="inlineStr"/>
    </row>
    <row r="30">
      <c r="A30" s="2" t="inlineStr">
        <is>
          <t>C-802</t>
        </is>
      </c>
      <c r="B30" s="2" t="inlineStr">
        <is>
          <t>If caught in a vehicle: drive out of the storm's path if possible (at right angles to its track); otherwise get down in a ditch or culvert lower than the road and cover your head</t>
        </is>
      </c>
      <c r="C30" s="2" t="inlineStr">
        <is>
          <t>FACT</t>
        </is>
      </c>
      <c r="D30" s="2" t="inlineStr">
        <is>
          <t>NWS Mobile / Milwaukee offices (paraphrase via extract)</t>
        </is>
      </c>
      <c r="E30" s="2" t="inlineStr">
        <is>
          <t>—</t>
        </is>
      </c>
      <c r="F30" s="2" t="inlineStr">
        <is>
          <t>Depends on traffic and debris; confirm live wording</t>
        </is>
      </c>
      <c r="G30" s="2" t="inlineStr">
        <is>
          <t>"If you can't drive away, get lower than the road and cover your head."</t>
        </is>
      </c>
      <c r="H30" s="2" t="inlineStr">
        <is>
          <t>Tess lies in a ditch, arms over head</t>
        </is>
      </c>
      <c r="I30" s="2" t="inlineStr">
        <is>
          <t>QUALIFIED (confirm live wording)</t>
        </is>
      </c>
      <c r="J30" s="2" t="inlineStr">
        <is>
          <t>WS-008</t>
        </is>
      </c>
      <c r="K30" s="2" t="inlineStr"/>
      <c r="L30" s="2" t="inlineStr"/>
      <c r="M30" s="2" t="inlineStr"/>
      <c r="N30" s="2" t="inlineStr"/>
    </row>
    <row r="31">
      <c r="A31" s="2" t="inlineStr">
        <is>
          <t>C-803</t>
        </is>
      </c>
      <c r="B31" s="2" t="inlineStr">
        <is>
          <t>A tornado watch means be prepared; a warning means take action now</t>
        </is>
      </c>
      <c r="C31" s="2" t="inlineStr">
        <is>
          <t>FACT</t>
        </is>
      </c>
      <c r="D31" s="2" t="inlineStr">
        <is>
          <t>NWS Weather-Ready Nation</t>
        </is>
      </c>
      <c r="E31" s="2" t="inlineStr">
        <is>
          <t>—</t>
        </is>
      </c>
      <c r="F31" s="2" t="inlineStr">
        <is>
          <t>—</t>
        </is>
      </c>
      <c r="G31" s="2" t="inlineStr">
        <is>
          <t>"A watch means get ready. A warning means go."</t>
        </is>
      </c>
      <c r="H31" s="2" t="inlineStr">
        <is>
          <t>Phone shows WARNING in red</t>
        </is>
      </c>
      <c r="I31" s="2" t="inlineStr">
        <is>
          <t>SUPPORTED</t>
        </is>
      </c>
      <c r="J31" s="2" t="inlineStr">
        <is>
          <t>WS-008</t>
        </is>
      </c>
      <c r="K31" s="2" t="inlineStr"/>
      <c r="L31" s="2" t="inlineStr"/>
      <c r="M31" s="2" t="inlineStr"/>
      <c r="N31" s="2" t="inlineStr"/>
    </row>
    <row r="32">
      <c r="A32" s="2" t="inlineStr">
        <is>
          <t>C-804</t>
        </is>
      </c>
      <c r="B32" s="2" t="inlineStr">
        <is>
          <t>Many survivors describe a roar like a freight train</t>
        </is>
      </c>
      <c r="C32" s="2" t="inlineStr">
        <is>
          <t>FACT</t>
        </is>
      </c>
      <c r="D32" s="2" t="inlineStr">
        <is>
          <t>Ready.gov; NOAA SPC FAQ; NSSL</t>
        </is>
      </c>
      <c r="E32" s="2" t="inlineStr">
        <is>
          <t>—</t>
        </is>
      </c>
      <c r="F32" s="2" t="inlineStr">
        <is>
          <t>Sound varies; downbursts sound similar; don't wait to hear it</t>
        </is>
      </c>
      <c r="G32" s="2" t="inlineStr">
        <is>
          <t>"Some people hear a roar like a train. Don't wait for it."</t>
        </is>
      </c>
      <c r="H32" s="2" t="inlineStr">
        <is>
          <t>Rising rumble</t>
        </is>
      </c>
      <c r="I32" s="2" t="inlineStr">
        <is>
          <t>QUALIFIED</t>
        </is>
      </c>
      <c r="J32" s="2" t="inlineStr">
        <is>
          <t>WS-008</t>
        </is>
      </c>
      <c r="K32" s="2" t="inlineStr"/>
      <c r="L32" s="2" t="inlineStr"/>
      <c r="M32" s="2" t="inlineStr"/>
      <c r="N32" s="2" t="inlineStr"/>
    </row>
    <row r="33">
      <c r="A33" s="2" t="inlineStr">
        <is>
          <t>C-1001</t>
        </is>
      </c>
      <c r="B33" s="2" t="inlineStr">
        <is>
          <t>Refrigerator keeps food safe about 4 hours without power; a full freezer about 48 hours, half-full about 24 (doors closed)</t>
        </is>
      </c>
      <c r="C33" s="2" t="inlineStr">
        <is>
          <t>FACT</t>
        </is>
      </c>
      <c r="D33" s="2" t="inlineStr">
        <is>
          <t>FoodSafety.gov power-outage chart; USDA FSIS</t>
        </is>
      </c>
      <c r="E33" s="2" t="inlineStr">
        <is>
          <t>Doors kept closed</t>
        </is>
      </c>
      <c r="F33" s="2" t="inlineStr">
        <is>
          <t>—</t>
        </is>
      </c>
      <c r="G33" s="2" t="inlineStr">
        <is>
          <t>"Fridge: about four hours. Full freezer: about two days."</t>
        </is>
      </c>
      <c r="H33" s="2" t="inlineStr">
        <is>
          <t>T1 timers on fridge/freezer</t>
        </is>
      </c>
      <c r="I33" s="2" t="inlineStr">
        <is>
          <t>SUPPORTED</t>
        </is>
      </c>
      <c r="J33" s="2" t="inlineStr">
        <is>
          <t>WS-010; WS-014</t>
        </is>
      </c>
      <c r="K33" s="2" t="inlineStr"/>
      <c r="L33" s="2" t="inlineStr"/>
      <c r="M33" s="2" t="inlineStr"/>
      <c r="N33" s="2" t="inlineStr"/>
    </row>
    <row r="34">
      <c r="A34" s="2" t="inlineStr">
        <is>
          <t>C-1002</t>
        </is>
      </c>
      <c r="B34" s="2" t="inlineStr">
        <is>
          <t>Store at least 1 gallon of water per person per day</t>
        </is>
      </c>
      <c r="C34" s="2" t="inlineStr">
        <is>
          <t>FACT</t>
        </is>
      </c>
      <c r="D34" s="2" t="inlineStr">
        <is>
          <t>Ready.gov water; CDC emergency water supply</t>
        </is>
      </c>
      <c r="E34" s="2" t="inlineStr">
        <is>
          <t>—</t>
        </is>
      </c>
      <c r="F34" s="2" t="inlineStr">
        <is>
          <t>More for heat, children, pets</t>
        </is>
      </c>
      <c r="G34" s="2" t="inlineStr">
        <is>
          <t>"One gallon per person, per day."</t>
        </is>
      </c>
      <c r="H34" s="2" t="inlineStr">
        <is>
          <t>Counter</t>
        </is>
      </c>
      <c r="I34" s="2" t="inlineStr">
        <is>
          <t>SUPPORTED</t>
        </is>
      </c>
      <c r="J34" s="2" t="inlineStr">
        <is>
          <t>WS-010; WS-014</t>
        </is>
      </c>
      <c r="K34" s="2" t="inlineStr"/>
      <c r="L34" s="2" t="inlineStr"/>
      <c r="M34" s="2" t="inlineStr"/>
      <c r="N34" s="2" t="inlineStr"/>
    </row>
    <row r="35">
      <c r="A35" s="2" t="inlineStr">
        <is>
          <t>C-1003</t>
        </is>
      </c>
      <c r="B35" s="2" t="inlineStr">
        <is>
          <t>Cell sites and gas station pumps depend on electricity / backup power</t>
        </is>
      </c>
      <c r="C35" s="2" t="inlineStr">
        <is>
          <t>FACT</t>
        </is>
      </c>
      <c r="D35" s="2" t="inlineStr">
        <is>
          <t>(not retrieved)</t>
        </is>
      </c>
      <c r="E35" s="2" t="inlineStr">
        <is>
          <t>—</t>
        </is>
      </c>
      <c r="F35" s="2" t="inlineStr">
        <is>
          <t>Backup durations vary widely</t>
        </is>
      </c>
      <c r="G35" s="2" t="inlineStr">
        <is>
          <t>Avoid specific hours</t>
        </is>
      </c>
      <c r="H35" s="2" t="inlineStr">
        <is>
          <t>—</t>
        </is>
      </c>
      <c r="I35" s="2" t="inlineStr">
        <is>
          <t>UNVERIFIED — BLOCKING if stated</t>
        </is>
      </c>
      <c r="J35" s="2" t="inlineStr">
        <is>
          <t>WS-010</t>
        </is>
      </c>
      <c r="K35" s="2" t="inlineStr"/>
      <c r="L35" s="2" t="inlineStr"/>
      <c r="M35" s="2" t="inlineStr"/>
      <c r="N35" s="2" t="inlineStr"/>
    </row>
    <row r="36">
      <c r="A36" s="2" t="inlineStr">
        <is>
          <t>C-1101</t>
        </is>
      </c>
      <c r="B36" s="2" t="inlineStr">
        <is>
          <t>Building-specific door directions (stairwell / emergency exit doors open in the direction of exit travel)</t>
        </is>
      </c>
      <c r="C36" s="2" t="inlineStr">
        <is>
          <t>FACT</t>
        </is>
      </c>
      <c r="D36" s="2" t="inlineStr">
        <is>
          <t>Building codes (IBC / NFPA 101) — not retrieved</t>
        </is>
      </c>
      <c r="E36" s="2" t="inlineStr">
        <is>
          <t>—</t>
        </is>
      </c>
      <c r="F36" s="2" t="inlineStr">
        <is>
          <t>Varies by building</t>
        </is>
      </c>
      <c r="G36" s="2" t="inlineStr">
        <is>
          <t>Keep as story fact for *this* building: "In Tess's building, the stairwell doors push inward."</t>
        </is>
      </c>
      <c r="H36" s="2" t="inlineStr">
        <is>
          <t>Arrows</t>
        </is>
      </c>
      <c r="I36" s="2" t="inlineStr">
        <is>
          <t>UNVERIFIED (treat as in-story fact only)</t>
        </is>
      </c>
      <c r="J36" s="2" t="inlineStr">
        <is>
          <t>WS-011; WS-013</t>
        </is>
      </c>
      <c r="K36" s="2" t="inlineStr"/>
      <c r="L36" s="2" t="inlineStr"/>
      <c r="M36" s="2" t="inlineStr"/>
      <c r="N36" s="2" t="inlineStr"/>
    </row>
    <row r="37">
      <c r="A37" s="2" t="inlineStr">
        <is>
          <t>C-1201</t>
        </is>
      </c>
      <c r="B37" s="2" t="inlineStr">
        <is>
          <t>A home fire can become life-threatening in as little as about two minutes</t>
        </is>
      </c>
      <c r="C37" s="2" t="inlineStr">
        <is>
          <t>FACT</t>
        </is>
      </c>
      <c r="D37" s="2" t="inlineStr">
        <is>
          <t>Ready.gov home fires; American Red Cross; UL (escape time ≤3 min)</t>
        </is>
      </c>
      <c r="E37" s="2" t="inlineStr">
        <is>
          <t>—</t>
        </is>
      </c>
      <c r="F37" s="2" t="inlineStr">
        <is>
          <t>—</t>
        </is>
      </c>
      <c r="G37" s="2" t="inlineStr">
        <is>
          <t>"You may have about two minutes."</t>
        </is>
      </c>
      <c r="H37" s="2" t="inlineStr">
        <is>
          <t>T1 timer 02:00</t>
        </is>
      </c>
      <c r="I37" s="2" t="inlineStr">
        <is>
          <t>SUPPORTED</t>
        </is>
      </c>
      <c r="J37" s="2" t="inlineStr">
        <is>
          <t>WS-012</t>
        </is>
      </c>
      <c r="K37" s="2" t="inlineStr"/>
      <c r="L37" s="2" t="inlineStr"/>
      <c r="M37" s="2" t="inlineStr"/>
      <c r="N37" s="2" t="inlineStr"/>
    </row>
    <row r="38">
      <c r="A38" s="2" t="inlineStr">
        <is>
          <t>C-1202</t>
        </is>
      </c>
      <c r="B38" s="2" t="inlineStr">
        <is>
          <t>A closed door holds back heat and smoke ('Close Before You Doze'): in UL FSRI tests closed-door rooms stayed under ~100 °F vs over 1,000 °F with the door open</t>
        </is>
      </c>
      <c r="C38" s="2" t="inlineStr">
        <is>
          <t>FACT</t>
        </is>
      </c>
      <c r="D38" s="2" t="inlineStr">
        <is>
          <t>UL FSRI Close Before You Doze (fsri.org) and full-scale test notes</t>
        </is>
      </c>
      <c r="E38" s="2" t="inlineStr">
        <is>
          <t>Test conditions</t>
        </is>
      </c>
      <c r="F38" s="2" t="inlineStr">
        <is>
          <t>Avoid CO figures (sources disagree)</t>
        </is>
      </c>
      <c r="G38" s="2" t="inlineStr">
        <is>
          <t>"A closed door can keep a room hundreds of degrees cooler."</t>
        </is>
      </c>
      <c r="H38" s="2" t="inlineStr">
        <is>
          <t>Split: open vs closed bedroom</t>
        </is>
      </c>
      <c r="I38" s="2" t="inlineStr">
        <is>
          <t>SUPPORTED</t>
        </is>
      </c>
      <c r="J38" s="2" t="inlineStr">
        <is>
          <t>WS-012</t>
        </is>
      </c>
      <c r="K38" s="2" t="inlineStr"/>
      <c r="L38" s="2" t="inlineStr"/>
      <c r="M38" s="2" t="inlineStr"/>
      <c r="N38" s="2" t="inlineStr"/>
    </row>
    <row r="39">
      <c r="A39" s="2" t="inlineStr">
        <is>
          <t>C-1203</t>
        </is>
      </c>
      <c r="B39" s="2" t="inlineStr">
        <is>
          <t>Get low and crawl under smoke</t>
        </is>
      </c>
      <c r="C39" s="2" t="inlineStr">
        <is>
          <t>FACT</t>
        </is>
      </c>
      <c r="D39" s="2" t="inlineStr">
        <is>
          <t>NFPA escape planning; USFA pictographs</t>
        </is>
      </c>
      <c r="E39" s="2" t="inlineStr">
        <is>
          <t>—</t>
        </is>
      </c>
      <c r="F39" s="2" t="inlineStr">
        <is>
          <t>—</t>
        </is>
      </c>
      <c r="G39" s="2" t="inlineStr">
        <is>
          <t>"Get low. Go."</t>
        </is>
      </c>
      <c r="H39" s="2" t="inlineStr">
        <is>
          <t>Crawl</t>
        </is>
      </c>
      <c r="I39" s="2" t="inlineStr">
        <is>
          <t>SUPPORTED</t>
        </is>
      </c>
      <c r="J39" s="2" t="inlineStr">
        <is>
          <t>WS-012</t>
        </is>
      </c>
      <c r="K39" s="2" t="inlineStr"/>
      <c r="L39" s="2" t="inlineStr"/>
      <c r="M39" s="2" t="inlineStr"/>
      <c r="N39" s="2" t="inlineStr"/>
    </row>
    <row r="40">
      <c r="A40" s="2" t="inlineStr">
        <is>
          <t>C-1204</t>
        </is>
      </c>
      <c r="B40" s="2" t="inlineStr">
        <is>
          <t>Once out, stay out; never go back inside</t>
        </is>
      </c>
      <c r="C40" s="2" t="inlineStr">
        <is>
          <t>FACT</t>
        </is>
      </c>
      <c r="D40" s="2" t="inlineStr">
        <is>
          <t>Ready.gov home fire escape plan</t>
        </is>
      </c>
      <c r="E40" s="2" t="inlineStr">
        <is>
          <t>—</t>
        </is>
      </c>
      <c r="F40" s="2" t="inlineStr">
        <is>
          <t>—</t>
        </is>
      </c>
      <c r="G40" s="2" t="inlineStr">
        <is>
          <t>"Get out. Stay out."</t>
        </is>
      </c>
      <c r="H40" s="2" t="inlineStr">
        <is>
          <t>Owen stops at the door</t>
        </is>
      </c>
      <c r="I40" s="2" t="inlineStr">
        <is>
          <t>SUPPORTED</t>
        </is>
      </c>
      <c r="J40" s="2" t="inlineStr">
        <is>
          <t>WS-012</t>
        </is>
      </c>
      <c r="K40" s="2" t="inlineStr"/>
      <c r="L40" s="2" t="inlineStr"/>
      <c r="M40" s="2" t="inlineStr"/>
      <c r="N40" s="2" t="inlineStr"/>
    </row>
    <row r="41">
      <c r="A41" s="2" t="inlineStr">
        <is>
          <t>C-1205</t>
        </is>
      </c>
      <c r="B41" s="2" t="inlineStr">
        <is>
          <t>Feel a closed door with the back of your hand before opening</t>
        </is>
      </c>
      <c r="C41" s="2" t="inlineStr">
        <is>
          <t>FACT</t>
        </is>
      </c>
      <c r="D41" s="2" t="inlineStr">
        <is>
          <t>NFPA / Red Cross (common guidance; not retrieved)</t>
        </is>
      </c>
      <c r="E41" s="2" t="inlineStr">
        <is>
          <t>—</t>
        </is>
      </c>
      <c r="F41" s="2" t="inlineStr">
        <is>
          <t>—</t>
        </is>
      </c>
      <c r="G41" s="2" t="inlineStr">
        <is>
          <t>"Back of the hand. Hot? Use the window."</t>
        </is>
      </c>
      <c r="H41" s="2" t="inlineStr">
        <is>
          <t>Hand to door</t>
        </is>
      </c>
      <c r="I41" s="2" t="inlineStr">
        <is>
          <t>UNVERIFIED — BLOCKING if used</t>
        </is>
      </c>
      <c r="J41" s="2" t="inlineStr">
        <is>
          <t>WS-012</t>
        </is>
      </c>
      <c r="K41" s="2" t="inlineStr"/>
      <c r="L41" s="2" t="inlineStr"/>
      <c r="M41" s="2" t="inlineStr"/>
      <c r="N41" s="2" t="inlineStr"/>
    </row>
    <row r="42">
      <c r="A42" s="2" t="inlineStr">
        <is>
          <t>C-1206</t>
        </is>
      </c>
      <c r="B42" s="2" t="inlineStr">
        <is>
          <t>Plan two ways out of every room; a window can be the second way out when smoke blocks the door route</t>
        </is>
      </c>
      <c r="C42" s="2" t="inlineStr">
        <is>
          <t>FACT</t>
        </is>
      </c>
      <c r="D42" s="2" t="inlineStr">
        <is>
          <t>NFPA home fire escape planning; USFA escape-planning pictographs (pages cited in research appendix D2 §3c; this wording not retrieved)</t>
        </is>
      </c>
      <c r="E42" s="2" t="inlineStr">
        <is>
          <t>Ground floor or a safe low roof; never jump from height</t>
        </is>
      </c>
      <c r="F42" s="2" t="inlineStr">
        <is>
          <t>Only where the window leads somewhere safe</t>
        </is>
      </c>
      <c r="G42" s="2" t="inlineStr">
        <is>
          <t>"Every room needs a second way out."</t>
        </is>
      </c>
      <c r="H42" s="2" t="inlineStr">
        <is>
          <t>Window opens onto the porch roof; Owen moves slowly and low</t>
        </is>
      </c>
      <c r="I42" s="2" t="inlineStr">
        <is>
          <t>UNVERIFIED — BLOCKING</t>
        </is>
      </c>
      <c r="J42" s="2" t="inlineStr">
        <is>
          <t>WS-012</t>
        </is>
      </c>
      <c r="K42" s="2" t="inlineStr"/>
      <c r="L42" s="2" t="inlineStr"/>
      <c r="M42" s="2" t="inlineStr"/>
      <c r="N42" s="2" t="inlineStr"/>
    </row>
    <row r="43">
      <c r="A43" s="2" t="inlineStr">
        <is>
          <t>C-1501</t>
        </is>
      </c>
      <c r="B43" s="2" t="inlineStr">
        <is>
          <t>Antarctic winter temperatures at inland stations fall far below −30 °C</t>
        </is>
      </c>
      <c r="C43" s="2" t="inlineStr">
        <is>
          <t>FACT</t>
        </is>
      </c>
      <c r="D43" s="2" t="inlineStr">
        <is>
          <t>(not retrieved; e.g. British Antarctic Survey / NSF)</t>
        </is>
      </c>
      <c r="E43" s="2" t="inlineStr">
        <is>
          <t>—</t>
        </is>
      </c>
      <c r="F43" s="2" t="inlineStr">
        <is>
          <t>Coastal stations are milder</t>
        </is>
      </c>
      <c r="G43" s="2" t="inlineStr">
        <is>
          <t>Keep as story setting with a stated temperature</t>
        </is>
      </c>
      <c r="H43" s="2" t="inlineStr">
        <is>
          <t>Thermometer HUD</t>
        </is>
      </c>
      <c r="I43" s="2" t="inlineStr">
        <is>
          <t>UNVERIFIED — BLOCKING if a number is shown</t>
        </is>
      </c>
      <c r="J43" s="2" t="inlineStr">
        <is>
          <t>WS-015; WS-016</t>
        </is>
      </c>
      <c r="K43" s="2" t="inlineStr"/>
      <c r="L43" s="2" t="inlineStr"/>
      <c r="M43" s="2" t="inlineStr"/>
      <c r="N43" s="2" t="inlineStr"/>
    </row>
    <row r="44">
      <c r="A44" s="2" t="inlineStr">
        <is>
          <t>C-1701</t>
        </is>
      </c>
      <c r="B44" s="2" t="inlineStr">
        <is>
          <t>If caught in a rip current: relax and float, don't swim against it; swim parallel to shore; if you can't escape, face shore and wave for help</t>
        </is>
      </c>
      <c r="C44" s="2" t="inlineStr">
        <is>
          <t>FACT</t>
        </is>
      </c>
      <c r="D44" s="2" t="inlineStr">
        <is>
          <t>NWS Mount Holly CFW product; NWS rip current safety; NOAA NOS</t>
        </is>
      </c>
      <c r="E44" s="2" t="inlineStr">
        <is>
          <t>—</t>
        </is>
      </c>
      <c r="F44" s="2" t="inlineStr">
        <is>
          <t>—</t>
        </is>
      </c>
      <c r="G44" s="2" t="inlineStr">
        <is>
          <t>"Don't fight it. Float. Then swim sideways."</t>
        </is>
      </c>
      <c r="H44" s="2" t="inlineStr">
        <is>
          <t>Overhead shot: sideways exit</t>
        </is>
      </c>
      <c r="I44" s="2" t="inlineStr">
        <is>
          <t>SUPPORTED</t>
        </is>
      </c>
      <c r="J44" s="2" t="inlineStr">
        <is>
          <t>WS-017</t>
        </is>
      </c>
      <c r="K44" s="2" t="inlineStr"/>
      <c r="L44" s="2" t="inlineStr"/>
      <c r="M44" s="2" t="inlineStr"/>
      <c r="N44" s="2" t="inlineStr"/>
    </row>
    <row r="45">
      <c r="A45" s="2" t="inlineStr">
        <is>
          <t>C-1702</t>
        </is>
      </c>
      <c r="B45" s="2" t="inlineStr">
        <is>
          <t>Most rip currents are less than about 80 ft wide</t>
        </is>
      </c>
      <c r="C45" s="2" t="inlineStr">
        <is>
          <t>FACT</t>
        </is>
      </c>
      <c r="D45" s="2" t="inlineStr">
        <is>
          <t>NOAA National Ocean Service tutorial (paraphrase)</t>
        </is>
      </c>
      <c r="E45" s="2" t="inlineStr">
        <is>
          <t>—</t>
        </is>
      </c>
      <c r="F45" s="2" t="inlineStr">
        <is>
          <t>'Most', not all</t>
        </is>
      </c>
      <c r="G45" s="2" t="inlineStr">
        <is>
          <t>"Most are narrower than a basketball court is long." (or "less than about 25 metres")</t>
        </is>
      </c>
      <c r="H45" s="2" t="inlineStr">
        <is>
          <t>Width tick on Cyan Sphere</t>
        </is>
      </c>
      <c r="I45" s="2" t="inlineStr">
        <is>
          <t>QUALIFIED</t>
        </is>
      </c>
      <c r="J45" s="2" t="inlineStr">
        <is>
          <t>WS-017</t>
        </is>
      </c>
      <c r="K45" s="2" t="inlineStr"/>
      <c r="L45" s="2" t="inlineStr"/>
      <c r="M45" s="2" t="inlineStr"/>
      <c r="N45" s="2" t="inlineStr"/>
    </row>
    <row r="46">
      <c r="A46" s="2" t="inlineStr">
        <is>
          <t>C-1703</t>
        </is>
      </c>
      <c r="B46" s="2" t="inlineStr">
        <is>
          <t>US rip-current deaths: about 100 a year (estimate); NWS counted 74 in 2024</t>
        </is>
      </c>
      <c r="C46" s="2" t="inlineStr">
        <is>
          <t>FACT</t>
        </is>
      </c>
      <c r="D46" s="2" t="inlineStr">
        <is>
          <t>NOAA Ocean Today; NWS ILM/USLA; NWS 2024 hazard summary</t>
        </is>
      </c>
      <c r="E46" s="2" t="inlineStr">
        <is>
          <t>—</t>
        </is>
      </c>
      <c r="F46" s="2" t="inlineStr">
        <is>
          <t>Estimates vary</t>
        </is>
      </c>
      <c r="G46" s="2" t="inlineStr">
        <is>
          <t>Prefer no number on screen</t>
        </is>
      </c>
      <c r="H46" s="2" t="inlineStr">
        <is>
          <t>—</t>
        </is>
      </c>
      <c r="I46" s="2" t="inlineStr">
        <is>
          <t>QUALIFIED</t>
        </is>
      </c>
      <c r="J46" s="2" t="inlineStr">
        <is>
          <t>WS-017</t>
        </is>
      </c>
      <c r="K46" s="2" t="inlineStr"/>
      <c r="L46" s="2" t="inlineStr"/>
      <c r="M46" s="2" t="inlineStr"/>
      <c r="N46" s="2" t="inlineStr"/>
    </row>
    <row r="47">
      <c r="A47" s="2" t="inlineStr">
        <is>
          <t>C-1704</t>
        </is>
      </c>
      <c r="B47" s="2" t="inlineStr">
        <is>
          <t>Visual signs of a rip (gap in breaking waves, churning/discoloured water)</t>
        </is>
      </c>
      <c r="C47" s="2" t="inlineStr">
        <is>
          <t>FACT</t>
        </is>
      </c>
      <c r="D47" s="2" t="inlineStr">
        <is>
          <t>NOAA (not retrieved)</t>
        </is>
      </c>
      <c r="E47" s="2" t="inlineStr">
        <is>
          <t>—</t>
        </is>
      </c>
      <c r="F47" s="2" t="inlineStr">
        <is>
          <t>—</t>
        </is>
      </c>
      <c r="G47" s="2" t="inlineStr">
        <is>
          <t>—</t>
        </is>
      </c>
      <c r="H47" s="2" t="inlineStr">
        <is>
          <t>Only animate after verification</t>
        </is>
      </c>
      <c r="I47" s="2" t="inlineStr">
        <is>
          <t>UNVERIFIED — BLOCKING if shown</t>
        </is>
      </c>
      <c r="J47" s="2" t="inlineStr">
        <is>
          <t>WS-017</t>
        </is>
      </c>
      <c r="K47" s="2" t="inlineStr"/>
      <c r="L47" s="2" t="inlineStr"/>
      <c r="M47" s="2" t="inlineStr"/>
      <c r="N47" s="2" t="inlineStr"/>
    </row>
    <row r="48">
      <c r="A48" s="2" t="inlineStr">
        <is>
          <t>C-1801</t>
        </is>
      </c>
      <c r="B48" s="2" t="inlineStr">
        <is>
          <t>Chelyabinsk, 15 Feb 2013: a meteor airburst's shock wave arrived after the flash and blew out windows; most of ~1,500 injuries were from broken glass</t>
        </is>
      </c>
      <c r="C48" s="2" t="inlineStr">
        <is>
          <t>FACT</t>
        </is>
      </c>
      <c r="D48" s="2" t="inlineStr">
        <is>
          <t>NASA / ESA (not retrieved)</t>
        </is>
      </c>
      <c r="E48" s="2" t="inlineStr">
        <is>
          <t>—</t>
        </is>
      </c>
      <c r="F48" s="2" t="inlineStr">
        <is>
          <t>—</t>
        </is>
      </c>
      <c r="G48" s="2" t="inlineStr">
        <is>
          <t>"In 2013, most people hurt in Chelyabinsk were hit by window glass."</t>
        </is>
      </c>
      <c r="H48" s="2" t="inlineStr">
        <is>
          <t>Flash → delay → glass</t>
        </is>
      </c>
      <c r="I48" s="2" t="inlineStr">
        <is>
          <t>UNVERIFIED — BLOCKING</t>
        </is>
      </c>
      <c r="J48" s="2" t="inlineStr">
        <is>
          <t>WS-018</t>
        </is>
      </c>
      <c r="K48" s="2" t="inlineStr"/>
      <c r="L48" s="2" t="inlineStr"/>
      <c r="M48" s="2" t="inlineStr"/>
      <c r="N48" s="2" t="inlineStr"/>
    </row>
    <row r="49">
      <c r="A49" s="2" t="inlineStr">
        <is>
          <t>C-1802</t>
        </is>
      </c>
      <c r="B49" s="2" t="inlineStr">
        <is>
          <t>Leonid meteor shower 2026 peak date; meteor-shower meteors are tiny particles that burn up and are harmless</t>
        </is>
      </c>
      <c r="C49" s="2" t="inlineStr">
        <is>
          <t>FACT</t>
        </is>
      </c>
      <c r="D49" s="2" t="inlineStr">
        <is>
          <t>IMO / American Meteor Society / NASA (not retrieved)</t>
        </is>
      </c>
      <c r="E49" s="2" t="inlineStr">
        <is>
          <t>—</t>
        </is>
      </c>
      <c r="F49" s="2" t="inlineStr">
        <is>
          <t>Must not imply the Leonids cause airbursts</t>
        </is>
      </c>
      <c r="G49" s="2" t="inlineStr">
        <is>
          <t>"Tonight's meteors are dust. Harmless."</t>
        </is>
      </c>
      <c r="H49" s="2" t="inlineStr">
        <is>
          <t>—</t>
        </is>
      </c>
      <c r="I49" s="2" t="inlineStr">
        <is>
          <t>UNVERIFIED — BLOCKING</t>
        </is>
      </c>
      <c r="J49" s="2" t="inlineStr">
        <is>
          <t>WS-018</t>
        </is>
      </c>
      <c r="K49" s="2" t="inlineStr"/>
      <c r="L49" s="2" t="inlineStr"/>
      <c r="M49" s="2" t="inlineStr"/>
      <c r="N49" s="2" t="inlineStr"/>
    </row>
    <row r="50">
      <c r="A50" s="2" t="inlineStr">
        <is>
          <t>C-1901</t>
        </is>
      </c>
      <c r="B50" s="2" t="inlineStr">
        <is>
          <t>Elevator free fall is extremely rare (multiple ropes and safety brakes) but not impossible</t>
        </is>
      </c>
      <c r="C50" s="2" t="inlineStr">
        <is>
          <t>FACT</t>
        </is>
      </c>
      <c r="D50" s="2" t="inlineStr">
        <is>
          <t>Otis high-rise safety; WTAMU physics Q&amp;A; Ole Miss eGrove (research appendix D2 §4a)</t>
        </is>
      </c>
      <c r="E50" s="2" t="inlineStr">
        <is>
          <t>—</t>
        </is>
      </c>
      <c r="F50" s="2" t="inlineStr">
        <is>
          <t>Rare ≠ impossible</t>
        </is>
      </c>
      <c r="G50" s="2" t="inlineStr">
        <is>
          <t>"Elevators almost never fall."</t>
        </is>
      </c>
      <c r="H50" s="2" t="inlineStr">
        <is>
          <t>—</t>
        </is>
      </c>
      <c r="I50" s="2" t="inlineStr">
        <is>
          <t>QUALIFIED</t>
        </is>
      </c>
      <c r="J50" s="2" t="inlineStr">
        <is>
          <t>WS-019</t>
        </is>
      </c>
      <c r="K50" s="2" t="inlineStr"/>
      <c r="L50" s="2" t="inlineStr"/>
      <c r="M50" s="2" t="inlineStr"/>
      <c r="N50" s="2" t="inlineStr"/>
    </row>
    <row r="51">
      <c r="A51" s="2" t="inlineStr">
        <is>
          <t>C-1902</t>
        </is>
      </c>
      <c r="B51" s="2" t="inlineStr">
        <is>
          <t>If stuck in an elevator: stay inside, use the alarm/phone, don't force the doors</t>
        </is>
      </c>
      <c r="C51" s="2" t="inlineStr">
        <is>
          <t>FACT</t>
        </is>
      </c>
      <c r="D51" s="2" t="inlineStr">
        <is>
          <t>Otis '5 steps to take if your elevator stops'; Technical Safety BC</t>
        </is>
      </c>
      <c r="E51" s="2" t="inlineStr">
        <is>
          <t>—</t>
        </is>
      </c>
      <c r="F51" s="2" t="inlineStr">
        <is>
          <t>—</t>
        </is>
      </c>
      <c r="G51" s="2" t="inlineStr">
        <is>
          <t>"Stay in. Press the alarm. Don't pry the doors."</t>
        </is>
      </c>
      <c r="H51" s="2" t="inlineStr">
        <is>
          <t>Alarm button glow</t>
        </is>
      </c>
      <c r="I51" s="2" t="inlineStr">
        <is>
          <t>SUPPORTED</t>
        </is>
      </c>
      <c r="J51" s="2" t="inlineStr">
        <is>
          <t>WS-019</t>
        </is>
      </c>
      <c r="K51" s="2" t="inlineStr"/>
      <c r="L51" s="2" t="inlineStr"/>
      <c r="M51" s="2" t="inlineStr"/>
      <c r="N51" s="2" t="inlineStr"/>
    </row>
    <row r="52">
      <c r="A52" s="2" t="inlineStr">
        <is>
          <t>C-2001</t>
        </is>
      </c>
      <c r="B52" s="2" t="inlineStr">
        <is>
          <t>Carrington Event (1859); Quebec blackout (13 Mar 1989, ~9 hours); May 2024 G5 storm; severe storms can damage high-voltage transformers</t>
        </is>
      </c>
      <c r="C52" s="2" t="inlineStr">
        <is>
          <t>FACT</t>
        </is>
      </c>
      <c r="D52" s="2" t="inlineStr">
        <is>
          <t>NOAA SWPC; NASA; Hydro-Québec (not retrieved)</t>
        </is>
      </c>
      <c r="E52" s="2" t="inlineStr">
        <is>
          <t>—</t>
        </is>
      </c>
      <c r="F52" s="2" t="inlineStr">
        <is>
          <t>Impacts uncertain; avoid apocalyptic certainty</t>
        </is>
      </c>
      <c r="G52" s="2" t="inlineStr">
        <is>
          <t>—</t>
        </is>
      </c>
      <c r="H52" s="2" t="inlineStr">
        <is>
          <t>Aurora at low latitude; transformer hum</t>
        </is>
      </c>
      <c r="I52" s="2" t="inlineStr">
        <is>
          <t>UNVERIFIED — BLOCKING</t>
        </is>
      </c>
      <c r="J52" s="2" t="inlineStr">
        <is>
          <t>WS-020</t>
        </is>
      </c>
      <c r="K52" s="2" t="inlineStr"/>
      <c r="L52" s="2" t="inlineStr"/>
      <c r="M52" s="2" t="inlineStr"/>
      <c r="N52" s="2" t="inlineStr"/>
    </row>
    <row r="53">
      <c r="A53" s="2" t="inlineStr">
        <is>
          <t>C-2101</t>
        </is>
      </c>
      <c r="B53" s="2" t="inlineStr">
        <is>
          <t>Cold-water shock: an involuntary gasp and rapid breathing in the first minute (can last up to ~3 minutes)</t>
        </is>
      </c>
      <c r="C53" s="2" t="inlineStr">
        <is>
          <t>FACT</t>
        </is>
      </c>
      <c r="D53" s="2" t="inlineStr">
        <is>
          <t>NIH/PMC peer-reviewed reviews; NWS cold water safety</t>
        </is>
      </c>
      <c r="E53" s="2" t="inlineStr">
        <is>
          <t>—</t>
        </is>
      </c>
      <c r="F53" s="2" t="inlineStr">
        <is>
          <t>—</t>
        </is>
      </c>
      <c r="G53" s="2" t="inlineStr">
        <is>
          <t>"First comes the gasp. Control your breathing."</t>
        </is>
      </c>
      <c r="H53" s="2" t="inlineStr">
        <is>
          <t>Tess gasps, then slows breathing</t>
        </is>
      </c>
      <c r="I53" s="2" t="inlineStr">
        <is>
          <t>SUPPORTED</t>
        </is>
      </c>
      <c r="J53" s="2" t="inlineStr">
        <is>
          <t>WS-021</t>
        </is>
      </c>
      <c r="K53" s="2" t="inlineStr"/>
      <c r="L53" s="2" t="inlineStr"/>
      <c r="M53" s="2" t="inlineStr"/>
      <c r="N53" s="2" t="inlineStr"/>
    </row>
    <row r="54">
      <c r="A54" s="2" t="inlineStr">
        <is>
          <t>C-2102</t>
        </is>
      </c>
      <c r="B54" s="2" t="inlineStr">
        <is>
          <t>'1-10-1': about 1 minute to control breathing, ~10 minutes of meaningful movement, up to ~1 hour before unconsciousness</t>
        </is>
      </c>
      <c r="C54" s="2" t="inlineStr">
        <is>
          <t>FACT</t>
        </is>
      </c>
      <c r="D54" s="2" t="inlineStr">
        <is>
          <t>NPS Point Reyes; Giesbrecht (McGill OSS)</t>
        </is>
      </c>
      <c r="E54" s="2" t="inlineStr">
        <is>
          <t>—</t>
        </is>
      </c>
      <c r="F54" s="2" t="inlineStr">
        <is>
          <t>Rough guide; varies widely</t>
        </is>
      </c>
      <c r="G54" s="2" t="inlineStr">
        <is>
          <t>"About a minute to breathe. About ten to get out."</t>
        </is>
      </c>
      <c r="H54" s="2" t="inlineStr">
        <is>
          <t>T1 timer 1:00 → 10:00</t>
        </is>
      </c>
      <c r="I54" s="2" t="inlineStr">
        <is>
          <t>QUALIFIED</t>
        </is>
      </c>
      <c r="J54" s="2" t="inlineStr">
        <is>
          <t>WS-021</t>
        </is>
      </c>
      <c r="K54" s="2" t="inlineStr"/>
      <c r="L54" s="2" t="inlineStr"/>
      <c r="M54" s="2" t="inlineStr"/>
      <c r="N54" s="2" t="inlineStr"/>
    </row>
    <row r="55">
      <c r="A55" s="2" t="inlineStr">
        <is>
          <t>C-2103</t>
        </is>
      </c>
      <c r="B55" s="2" t="inlineStr">
        <is>
          <t>Self-rescue: turn back toward where you came (strongest ice), get arms on the ice, kick, slide out, roll away; don't stand until on solid ice</t>
        </is>
      </c>
      <c r="C55" s="2" t="inlineStr">
        <is>
          <t>FACT</t>
        </is>
      </c>
      <c r="D55" s="2" t="inlineStr">
        <is>
          <t>Minnesota DNR; Wisconsin DNR; Michigan DNR</t>
        </is>
      </c>
      <c r="E55" s="2" t="inlineStr">
        <is>
          <t>—</t>
        </is>
      </c>
      <c r="F55" s="2" t="inlineStr">
        <is>
          <t>—</t>
        </is>
      </c>
      <c r="G55" s="2" t="inlineStr">
        <is>
          <t>"Turn back the way you came. Kick. Slide. Roll."</t>
        </is>
      </c>
      <c r="H55" s="2" t="inlineStr">
        <is>
          <t>Exact sequence</t>
        </is>
      </c>
      <c r="I55" s="2" t="inlineStr">
        <is>
          <t>SUPPORTED</t>
        </is>
      </c>
      <c r="J55" s="2" t="inlineStr">
        <is>
          <t>WS-021</t>
        </is>
      </c>
      <c r="K55" s="2" t="inlineStr"/>
      <c r="L55" s="2" t="inlineStr"/>
      <c r="M55" s="2" t="inlineStr"/>
      <c r="N55" s="2" t="inlineStr"/>
    </row>
    <row r="56">
      <c r="A56" s="2" t="inlineStr">
        <is>
          <t>C-2104</t>
        </is>
      </c>
      <c r="B56" s="2" t="inlineStr">
        <is>
          <t>Minimum ice thickness guidance for walking (e.g. 4 in. of new clear ice)</t>
        </is>
      </c>
      <c r="C56" s="2" t="inlineStr">
        <is>
          <t>FACT</t>
        </is>
      </c>
      <c r="D56" s="2" t="inlineStr">
        <is>
          <t>MN DNR ice thickness guidelines (not retrieved)</t>
        </is>
      </c>
      <c r="E56" s="2" t="inlineStr">
        <is>
          <t>—</t>
        </is>
      </c>
      <c r="F56" s="2" t="inlineStr">
        <is>
          <t>—</t>
        </is>
      </c>
      <c r="G56" s="2" t="inlineStr">
        <is>
          <t>—</t>
        </is>
      </c>
      <c r="H56" s="2" t="inlineStr">
        <is>
          <t>—</t>
        </is>
      </c>
      <c r="I56" s="2" t="inlineStr">
        <is>
          <t>UNVERIFIED — BLOCKING if a number is shown</t>
        </is>
      </c>
      <c r="J56" s="2" t="inlineStr">
        <is>
          <t>WS-021</t>
        </is>
      </c>
      <c r="K56" s="2" t="inlineStr"/>
      <c r="L56" s="2" t="inlineStr"/>
      <c r="M56" s="2" t="inlineStr"/>
      <c r="N56" s="2" t="inlineStr"/>
    </row>
    <row r="57">
      <c r="A57" s="2" t="inlineStr">
        <is>
          <t>C-2301</t>
        </is>
      </c>
      <c r="B57" s="2" t="inlineStr">
        <is>
          <t>'Ready, Set, Go!' — leave early when told; embers can ignite homes far ahead of the flame front</t>
        </is>
      </c>
      <c r="C57" s="2" t="inlineStr">
        <is>
          <t>FACT</t>
        </is>
      </c>
      <c r="D57" s="2" t="inlineStr">
        <is>
          <t>CAL FIRE / IAFC Ready Set Go; NFPA Firewise (not retrieved)</t>
        </is>
      </c>
      <c r="E57" s="2" t="inlineStr">
        <is>
          <t>—</t>
        </is>
      </c>
      <c r="F57" s="2" t="inlineStr">
        <is>
          <t>—</t>
        </is>
      </c>
      <c r="G57" s="2" t="inlineStr">
        <is>
          <t>—</t>
        </is>
      </c>
      <c r="H57" s="2" t="inlineStr">
        <is>
          <t>—</t>
        </is>
      </c>
      <c r="I57" s="2" t="inlineStr">
        <is>
          <t>UNVERIFIED — BLOCKING</t>
        </is>
      </c>
      <c r="J57" s="2" t="inlineStr">
        <is>
          <t>WS-023</t>
        </is>
      </c>
      <c r="K57" s="2" t="inlineStr"/>
      <c r="L57" s="2" t="inlineStr"/>
      <c r="M57" s="2" t="inlineStr"/>
      <c r="N57" s="2" t="inlineStr"/>
    </row>
    <row r="58">
      <c r="A58" s="2" t="inlineStr">
        <is>
          <t>C-2501</t>
        </is>
      </c>
      <c r="B58" s="2" t="inlineStr">
        <is>
          <t>Avalanche burial survival falls sharply after about 15–18 minutes; companion rescue with beacon, probe and shovel</t>
        </is>
      </c>
      <c r="C58" s="2" t="inlineStr">
        <is>
          <t>FACT</t>
        </is>
      </c>
      <c r="D58" s="2" t="inlineStr">
        <is>
          <t>Brugger/Haegeli survival-curve research; avalanche.org (not retrieved)</t>
        </is>
      </c>
      <c r="E58" s="2" t="inlineStr">
        <is>
          <t>—</t>
        </is>
      </c>
      <c r="F58" s="2" t="inlineStr">
        <is>
          <t>—</t>
        </is>
      </c>
      <c r="G58" s="2" t="inlineStr">
        <is>
          <t>—</t>
        </is>
      </c>
      <c r="H58" s="2" t="inlineStr">
        <is>
          <t>—</t>
        </is>
      </c>
      <c r="I58" s="2" t="inlineStr">
        <is>
          <t>UNVERIFIED — BLOCKING</t>
        </is>
      </c>
      <c r="J58" s="2" t="inlineStr">
        <is>
          <t>WS-025</t>
        </is>
      </c>
      <c r="K58" s="2" t="inlineStr"/>
      <c r="L58" s="2" t="inlineStr"/>
      <c r="M58" s="2" t="inlineStr"/>
      <c r="N58" s="2" t="inlineStr"/>
    </row>
    <row r="59">
      <c r="A59" s="2" t="inlineStr">
        <is>
          <t>C-2701</t>
        </is>
      </c>
      <c r="B59" s="2" t="inlineStr">
        <is>
          <t>Thanksgiving is the peak day for US home cooking fires; never use water on a grease fire (cover, turn off heat); turkey fryers outdoors away from buildings, turkey fully thawed</t>
        </is>
      </c>
      <c r="C59" s="2" t="inlineStr">
        <is>
          <t>FACT</t>
        </is>
      </c>
      <c r="D59" s="2" t="inlineStr">
        <is>
          <t>NFPA; USFA; UL (not retrieved)</t>
        </is>
      </c>
      <c r="E59" s="2" t="inlineStr">
        <is>
          <t>—</t>
        </is>
      </c>
      <c r="F59" s="2" t="inlineStr">
        <is>
          <t>—</t>
        </is>
      </c>
      <c r="G59" s="2" t="inlineStr">
        <is>
          <t>—</t>
        </is>
      </c>
      <c r="H59" s="2" t="inlineStr">
        <is>
          <t>—</t>
        </is>
      </c>
      <c r="I59" s="2" t="inlineStr">
        <is>
          <t>UNVERIFIED — BLOCKING</t>
        </is>
      </c>
      <c r="J59" s="2" t="inlineStr">
        <is>
          <t>WS-027</t>
        </is>
      </c>
      <c r="K59" s="2" t="inlineStr"/>
      <c r="L59" s="2" t="inlineStr"/>
      <c r="M59" s="2" t="inlineStr"/>
      <c r="N59" s="2" t="inlineStr"/>
    </row>
    <row r="60">
      <c r="A60" s="2" t="inlineStr">
        <is>
          <t>C-2801</t>
        </is>
      </c>
      <c r="B60" s="2" t="inlineStr">
        <is>
          <t>Crowd crush risk rises sharply at high densities (≈5+ people per m²); guidance for individuals (stay upright, protect chest, move diagonally with gaps)</t>
        </is>
      </c>
      <c r="C60" s="2" t="inlineStr">
        <is>
          <t>FACT</t>
        </is>
      </c>
      <c r="D60" s="2" t="inlineStr">
        <is>
          <t>G. Keith Still crowd science; agency guidance (not retrieved)</t>
        </is>
      </c>
      <c r="E60" s="2" t="inlineStr">
        <is>
          <t>—</t>
        </is>
      </c>
      <c r="F60" s="2" t="inlineStr">
        <is>
          <t>Sensitive topic</t>
        </is>
      </c>
      <c r="G60" s="2" t="inlineStr">
        <is>
          <t>—</t>
        </is>
      </c>
      <c r="H60" s="2" t="inlineStr">
        <is>
          <t>No depiction of deaths</t>
        </is>
      </c>
      <c r="I60" s="2" t="inlineStr">
        <is>
          <t>UNVERIFIED — BLOCKING</t>
        </is>
      </c>
      <c r="J60" s="2" t="inlineStr">
        <is>
          <t>WS-028</t>
        </is>
      </c>
      <c r="K60" s="2" t="inlineStr"/>
      <c r="L60" s="2" t="inlineStr"/>
      <c r="M60" s="2" t="inlineStr"/>
      <c r="N60" s="2" t="inlineStr"/>
    </row>
    <row r="61">
      <c r="A61" s="2" t="inlineStr">
        <is>
          <t>C-2901</t>
        </is>
      </c>
      <c r="B61" s="2" t="inlineStr">
        <is>
          <t>Stranded in a winter storm: stay with the vehicle; keep the exhaust pipe clear of snow (CO); run the engine about 10 minutes per hour for heat; make the car visible</t>
        </is>
      </c>
      <c r="C61" s="2" t="inlineStr">
        <is>
          <t>FACT</t>
        </is>
      </c>
      <c r="D61" s="2" t="inlineStr">
        <is>
          <t>NWS winter safety; Ready.gov winter weather (not retrieved)</t>
        </is>
      </c>
      <c r="E61" s="2" t="inlineStr">
        <is>
          <t>—</t>
        </is>
      </c>
      <c r="F61" s="2" t="inlineStr">
        <is>
          <t>—</t>
        </is>
      </c>
      <c r="G61" s="2" t="inlineStr">
        <is>
          <t>—</t>
        </is>
      </c>
      <c r="H61" s="2" t="inlineStr">
        <is>
          <t>—</t>
        </is>
      </c>
      <c r="I61" s="2" t="inlineStr">
        <is>
          <t>UNVERIFIED — BLOCKING</t>
        </is>
      </c>
      <c r="J61" s="2" t="inlineStr">
        <is>
          <t>WS-029</t>
        </is>
      </c>
      <c r="K61" s="2" t="inlineStr"/>
      <c r="L61" s="2" t="inlineStr"/>
      <c r="M61" s="2" t="inlineStr"/>
      <c r="N61" s="2" t="inlineStr"/>
    </row>
    <row r="62">
      <c r="A62" s="2" t="inlineStr">
        <is>
          <t>C-1401</t>
        </is>
      </c>
      <c r="B62" s="2" t="inlineStr">
        <is>
          <t>A 2015 Cornell zombie-outbreak model found dense cities fall fastest and sparsely populated regions last longest</t>
        </is>
      </c>
      <c r="C62" s="2" t="inlineStr">
        <is>
          <t>FACT (about a model)</t>
        </is>
      </c>
      <c r="D62" s="2" t="inlineStr">
        <is>
          <t>Coverage of Alemi et al. (Cornell) model via news (research appendix C, R-S36)</t>
        </is>
      </c>
      <c r="E62" s="2" t="inlineStr">
        <is>
          <t>It's a model of a fictional outbreak</t>
        </is>
      </c>
      <c r="F62" s="2" t="inlineStr">
        <is>
          <t>—</t>
        </is>
      </c>
      <c r="G62" s="2" t="inlineStr">
        <is>
          <t>"Even scientists who modelled a zombie outbreak said: get away from dense cities."</t>
        </is>
      </c>
      <c r="H62" s="2" t="inlineStr">
        <is>
          <t>Map of spread</t>
        </is>
      </c>
      <c r="I62" s="2" t="inlineStr">
        <is>
          <t>QUALIFIED (confirm the original paper)</t>
        </is>
      </c>
      <c r="J62" s="2" t="inlineStr">
        <is>
          <t>WS-014</t>
        </is>
      </c>
      <c r="K62" s="2" t="inlineStr"/>
      <c r="L62" s="2" t="inlineStr"/>
      <c r="M62" s="2" t="inlineStr"/>
      <c r="N62" s="2" t="inlineStr"/>
    </row>
    <row r="63">
      <c r="A63" s="2" t="inlineStr">
        <is>
          <t>C-R101</t>
        </is>
      </c>
      <c r="B63" s="2" t="inlineStr">
        <is>
          <t>There is no safe place outdoors in a thunderstorm; if you can hear thunder you are likely within striking distance</t>
        </is>
      </c>
      <c r="C63" s="2" t="inlineStr">
        <is>
          <t>FACT</t>
        </is>
      </c>
      <c r="D63" s="2" t="inlineStr">
        <is>
          <t>NWS lightning safety overview (weather.gov/safety/lightning)</t>
        </is>
      </c>
      <c r="E63" s="2" t="inlineStr">
        <is>
          <t>—</t>
        </is>
      </c>
      <c r="F63" s="2" t="inlineStr">
        <is>
          <t>—</t>
        </is>
      </c>
      <c r="G63" s="2" t="inlineStr">
        <is>
          <t>"If you can hear thunder, you're close enough to be struck."</t>
        </is>
      </c>
      <c r="H63" s="2" t="inlineStr">
        <is>
          <t>Picnic shelter is NOT safe</t>
        </is>
      </c>
      <c r="I63" s="2" t="inlineStr">
        <is>
          <t>SUPPORTED</t>
        </is>
      </c>
      <c r="J63" s="2" t="inlineStr">
        <is>
          <t>R01</t>
        </is>
      </c>
      <c r="K63" s="2" t="inlineStr"/>
      <c r="L63" s="2" t="inlineStr"/>
      <c r="M63" s="2" t="inlineStr"/>
      <c r="N63" s="2" t="inlineStr"/>
    </row>
    <row r="64">
      <c r="A64" s="2" t="inlineStr">
        <is>
          <t>C-R102</t>
        </is>
      </c>
      <c r="B64" s="2" t="inlineStr">
        <is>
          <t>Safe shelter: a substantial building or a hard-topped metal vehicle with windows up; stay 30 minutes after the last thunder</t>
        </is>
      </c>
      <c r="C64" s="2" t="inlineStr">
        <is>
          <t>FACT</t>
        </is>
      </c>
      <c r="D64" s="2" t="inlineStr">
        <is>
          <t>NOAA JetStream lightning safety; NWS</t>
        </is>
      </c>
      <c r="E64" s="2" t="inlineStr">
        <is>
          <t>—</t>
        </is>
      </c>
      <c r="F64" s="2" t="inlineStr">
        <is>
          <t>—</t>
        </is>
      </c>
      <c r="G64" s="2" t="inlineStr">
        <is>
          <t>"Get inside. Wait thirty minutes after the last thunder."</t>
        </is>
      </c>
      <c r="H64" s="2" t="inlineStr">
        <is>
          <t>T1 timer resets on each rumble</t>
        </is>
      </c>
      <c r="I64" s="2" t="inlineStr">
        <is>
          <t>SUPPORTED</t>
        </is>
      </c>
      <c r="J64" s="2" t="inlineStr">
        <is>
          <t>R01</t>
        </is>
      </c>
      <c r="K64" s="2" t="inlineStr"/>
      <c r="L64" s="2" t="inlineStr"/>
      <c r="M64" s="2" t="inlineStr"/>
      <c r="N64" s="2" t="inlineStr"/>
    </row>
    <row r="65">
      <c r="A65" s="2" t="inlineStr">
        <is>
          <t>C-R103</t>
        </is>
      </c>
      <c r="B65" s="2" t="inlineStr">
        <is>
          <t>The lightning crouch does not provide meaningful protection; NWS stopped recommending it in 2008</t>
        </is>
      </c>
      <c r="C65" s="2" t="inlineStr">
        <is>
          <t>FACT</t>
        </is>
      </c>
      <c r="D65" s="2" t="inlineStr">
        <is>
          <t>NWS lightning-crouch page; NOAA JetStream FAQ</t>
        </is>
      </c>
      <c r="E65" s="2" t="inlineStr">
        <is>
          <t>—</t>
        </is>
      </c>
      <c r="F65" s="2" t="inlineStr">
        <is>
          <t>Never show crouch as the hero's solution</t>
        </is>
      </c>
      <c r="G65" s="2" t="inlineStr">
        <is>
          <t>"Crouching won't save you."</t>
        </is>
      </c>
      <c r="H65" s="2" t="inlineStr">
        <is>
          <t>—</t>
        </is>
      </c>
      <c r="I65" s="2" t="inlineStr">
        <is>
          <t>SUPPORTED</t>
        </is>
      </c>
      <c r="J65" s="2" t="inlineStr">
        <is>
          <t>R01</t>
        </is>
      </c>
      <c r="K65" s="2" t="inlineStr"/>
      <c r="L65" s="2" t="inlineStr"/>
      <c r="M65" s="2" t="inlineStr"/>
      <c r="N65" s="2" t="inlineStr"/>
    </row>
    <row r="66">
      <c r="A66" s="2" t="inlineStr">
        <is>
          <t>C-R104</t>
        </is>
      </c>
      <c r="B66" s="2" t="inlineStr">
        <is>
          <t>Rubber tyres don't protect you; a hard-topped car's metal shell does</t>
        </is>
      </c>
      <c r="C66" s="2" t="inlineStr">
        <is>
          <t>FACT</t>
        </is>
      </c>
      <c r="D66" s="2" t="inlineStr">
        <is>
          <t>NWS lightning myths; NWS Melbourne</t>
        </is>
      </c>
      <c r="E66" s="2" t="inlineStr">
        <is>
          <t>—</t>
        </is>
      </c>
      <c r="F66" s="2" t="inlineStr">
        <is>
          <t>Hands off metal</t>
        </is>
      </c>
      <c r="G66" s="2" t="inlineStr">
        <is>
          <t>"It's the metal roof, not the rubber tyres."</t>
        </is>
      </c>
      <c r="H66" s="2" t="inlineStr">
        <is>
          <t>Current flows around the car body</t>
        </is>
      </c>
      <c r="I66" s="2" t="inlineStr">
        <is>
          <t>SUPPORTED</t>
        </is>
      </c>
      <c r="J66" s="2" t="inlineStr">
        <is>
          <t>R01</t>
        </is>
      </c>
      <c r="K66" s="2" t="inlineStr"/>
      <c r="L66" s="2" t="inlineStr"/>
      <c r="M66" s="2" t="inlineStr"/>
      <c r="N66" s="2" t="inlineStr"/>
    </row>
    <row r="67">
      <c r="A67" s="2" t="inlineStr">
        <is>
          <t>C-R201</t>
        </is>
      </c>
      <c r="B67" s="2" t="inlineStr">
        <is>
          <t>Never drive or walk into floodwater ('Turn Around Don't Drown')</t>
        </is>
      </c>
      <c r="C67" s="2" t="inlineStr">
        <is>
          <t>FACT</t>
        </is>
      </c>
      <c r="D67" s="2" t="inlineStr">
        <is>
          <t>NWS Turn Around Don't Drown</t>
        </is>
      </c>
      <c r="E67" s="2" t="inlineStr">
        <is>
          <t>—</t>
        </is>
      </c>
      <c r="F67" s="2" t="inlineStr">
        <is>
          <t>—</t>
        </is>
      </c>
      <c r="G67" s="2" t="inlineStr">
        <is>
          <t>"Turn around. Don't drown."</t>
        </is>
      </c>
      <c r="H67" s="2" t="inlineStr">
        <is>
          <t>Car reverses at the flooded dip</t>
        </is>
      </c>
      <c r="I67" s="2" t="inlineStr">
        <is>
          <t>SUPPORTED</t>
        </is>
      </c>
      <c r="J67" s="2" t="inlineStr">
        <is>
          <t>R02</t>
        </is>
      </c>
      <c r="K67" s="2" t="inlineStr"/>
      <c r="L67" s="2" t="inlineStr"/>
      <c r="M67" s="2" t="inlineStr"/>
      <c r="N67" s="2" t="inlineStr"/>
    </row>
    <row r="68">
      <c r="A68" s="2" t="inlineStr">
        <is>
          <t>C-R202</t>
        </is>
      </c>
      <c r="B68" s="2" t="inlineStr">
        <is>
          <t>Six inches of fast-moving water can knock over an adult</t>
        </is>
      </c>
      <c r="C68" s="2" t="inlineStr">
        <is>
          <t>FACT</t>
        </is>
      </c>
      <c r="D68" s="2" t="inlineStr">
        <is>
          <t>NWS Turn Around Don't Drown</t>
        </is>
      </c>
      <c r="E68" s="2" t="inlineStr">
        <is>
          <t>—</t>
        </is>
      </c>
      <c r="F68" s="2" t="inlineStr">
        <is>
          <t>—</t>
        </is>
      </c>
      <c r="G68" s="2" t="inlineStr">
        <is>
          <t>"Six inches of fast water can knock you down."</t>
        </is>
      </c>
      <c r="H68" s="2" t="inlineStr">
        <is>
          <t>Shin-deep current</t>
        </is>
      </c>
      <c r="I68" s="2" t="inlineStr">
        <is>
          <t>SUPPORTED</t>
        </is>
      </c>
      <c r="J68" s="2" t="inlineStr">
        <is>
          <t>R02</t>
        </is>
      </c>
      <c r="K68" s="2" t="inlineStr"/>
      <c r="L68" s="2" t="inlineStr"/>
      <c r="M68" s="2" t="inlineStr"/>
      <c r="N68" s="2" t="inlineStr"/>
    </row>
    <row r="69">
      <c r="A69" s="2" t="inlineStr">
        <is>
          <t>C-R203</t>
        </is>
      </c>
      <c r="B69" s="2" t="inlineStr">
        <is>
          <t>About 12 inches of rushing water can carry away most cars; 2 feet can carry away SUVs and trucks</t>
        </is>
      </c>
      <c r="C69" s="2" t="inlineStr">
        <is>
          <t>FACT</t>
        </is>
      </c>
      <c r="D69" s="2" t="inlineStr">
        <is>
          <t>NWS Turn Around Don't Drown; NWS Tulsa</t>
        </is>
      </c>
      <c r="E69" s="2" t="inlineStr">
        <is>
          <t>—</t>
        </is>
      </c>
      <c r="F69" s="2" t="inlineStr">
        <is>
          <t>'Most cars' (not 'a small car')</t>
        </is>
      </c>
      <c r="G69" s="2" t="inlineStr">
        <is>
          <t>"About a foot of rushing water can float most cars."</t>
        </is>
      </c>
      <c r="H69" s="2" t="inlineStr">
        <is>
          <t>Water at bumper height lifts car</t>
        </is>
      </c>
      <c r="I69" s="2" t="inlineStr">
        <is>
          <t>QUALIFIED</t>
        </is>
      </c>
      <c r="J69" s="2" t="inlineStr">
        <is>
          <t>R02</t>
        </is>
      </c>
      <c r="K69" s="2" t="inlineStr"/>
      <c r="L69" s="2" t="inlineStr"/>
      <c r="M69" s="2" t="inlineStr"/>
      <c r="N69" s="2" t="inlineStr"/>
    </row>
    <row r="70">
      <c r="A70" s="2" t="inlineStr">
        <is>
          <t>C-R204</t>
        </is>
      </c>
      <c r="B70" s="2" t="inlineStr">
        <is>
          <t>More than half of flood drownings involve vehicles driven into flood water</t>
        </is>
      </c>
      <c r="C70" s="2" t="inlineStr">
        <is>
          <t>FACT</t>
        </is>
      </c>
      <c r="D70" s="2" t="inlineStr">
        <is>
          <t>NWS (citing CDC); NWS WRN social kit</t>
        </is>
      </c>
      <c r="E70" s="2" t="inlineStr">
        <is>
          <t>—</t>
        </is>
      </c>
      <c r="F70" s="2" t="inlineStr">
        <is>
          <t>—</t>
        </is>
      </c>
      <c r="G70" s="2" t="inlineStr">
        <is>
          <t>"Most flood deaths happen in cars."</t>
        </is>
      </c>
      <c r="H70" s="2" t="inlineStr">
        <is>
          <t>—</t>
        </is>
      </c>
      <c r="I70" s="2" t="inlineStr">
        <is>
          <t>SUPPORTED</t>
        </is>
      </c>
      <c r="J70" s="2" t="inlineStr">
        <is>
          <t>R02</t>
        </is>
      </c>
      <c r="K70" s="2" t="inlineStr"/>
      <c r="L70" s="2" t="inlineStr"/>
      <c r="M70" s="2" t="inlineStr"/>
      <c r="N70" s="2" t="inlineStr"/>
    </row>
    <row r="71">
      <c r="A71" s="2" t="inlineStr">
        <is>
          <t>C-P01</t>
        </is>
      </c>
      <c r="B71" s="2" t="inlineStr">
        <is>
          <t>Animated or clearly unrealistic content does not require YouTube's altered/synthetic disclosure</t>
        </is>
      </c>
      <c r="C71" s="2" t="inlineStr">
        <is>
          <t>PLATFORM</t>
        </is>
      </c>
      <c r="D71" s="2" t="inlineStr">
        <is>
          <t>YouTube Blog (Mar 2024) 'Disclosing AI-generated content'</t>
        </is>
      </c>
      <c r="E71" s="2" t="inlineStr">
        <is>
          <t>—</t>
        </is>
      </c>
      <c r="F71" s="2" t="inlineStr">
        <is>
          <t>Realistic synthetic people/events would</t>
        </is>
      </c>
      <c r="G71" s="2" t="inlineStr">
        <is>
          <t>—</t>
        </is>
      </c>
      <c r="H71" s="2" t="inlineStr">
        <is>
          <t>—</t>
        </is>
      </c>
      <c r="I71" s="2" t="inlineStr">
        <is>
          <t>SUPPORTED</t>
        </is>
      </c>
      <c r="J71" s="2" t="inlineStr">
        <is>
          <t>All</t>
        </is>
      </c>
      <c r="K71" s="2" t="inlineStr"/>
      <c r="L71" s="2" t="inlineStr"/>
      <c r="M71" s="2" t="inlineStr"/>
      <c r="N71" s="2" t="inlineStr"/>
    </row>
    <row r="72">
      <c r="A72" s="2" t="inlineStr">
        <is>
          <t>C-P02</t>
        </is>
      </c>
      <c r="B72" s="2" t="inlineStr">
        <is>
          <t>Videos uploaded since 15 Oct 2024 that are square/vertical and ≤3 minutes are Shorts</t>
        </is>
      </c>
      <c r="C72" s="2" t="inlineStr">
        <is>
          <t>PLATFORM</t>
        </is>
      </c>
      <c r="D72" s="2" t="inlineStr">
        <is>
          <t>YouTube Help answer 15424877</t>
        </is>
      </c>
      <c r="E72" s="2" t="inlineStr">
        <is>
          <t>—</t>
        </is>
      </c>
      <c r="F72" s="2" t="inlineStr">
        <is>
          <t>—</t>
        </is>
      </c>
      <c r="G72" s="2" t="inlineStr">
        <is>
          <t>—</t>
        </is>
      </c>
      <c r="H72" s="2" t="inlineStr">
        <is>
          <t>—</t>
        </is>
      </c>
      <c r="I72" s="2" t="inlineStr">
        <is>
          <t>SUPPORTED</t>
        </is>
      </c>
      <c r="J72" s="2" t="inlineStr">
        <is>
          <t>All</t>
        </is>
      </c>
      <c r="K72" s="2" t="inlineStr"/>
      <c r="L72" s="2" t="inlineStr"/>
      <c r="M72" s="2" t="inlineStr"/>
      <c r="N72" s="2" t="inlineStr"/>
    </row>
  </sheetData>
  <autoFilter ref="A1:N7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2" customWidth="1" min="5" max="5"/>
    <col width="13" customWidth="1" min="6" max="6"/>
    <col width="10" customWidth="1" min="7" max="7"/>
    <col width="11" customWidth="1" min="8" max="8"/>
    <col width="10" customWidth="1" min="9" max="9"/>
    <col width="12" customWidth="1" min="10" max="10"/>
    <col width="18" customWidth="1" min="11" max="11"/>
    <col width="16" customWidth="1" min="12" max="12"/>
    <col width="17" customWidth="1" min="13" max="13"/>
    <col width="10" customWidth="1" min="14" max="14"/>
  </cols>
  <sheetData>
    <row r="1">
      <c r="A1" s="1" t="inlineStr">
        <is>
          <t>Day</t>
        </is>
      </c>
      <c r="B1" s="1" t="inlineStr">
        <is>
          <t>Publish</t>
        </is>
      </c>
      <c r="C1" s="1" t="inlineStr">
        <is>
          <t>ID</t>
        </is>
      </c>
      <c r="D1" s="1" t="inlineStr">
        <is>
          <t>Cx</t>
        </is>
      </c>
      <c r="E1" s="1" t="inlineStr">
        <is>
          <t>Research start</t>
        </is>
      </c>
      <c r="F1" s="1" t="inlineStr">
        <is>
          <t>Claims verified</t>
        </is>
      </c>
      <c r="G1" s="1" t="inlineStr">
        <is>
          <t>Script lock</t>
        </is>
      </c>
      <c r="H1" s="1" t="inlineStr">
        <is>
          <t>Animatic + VO</t>
        </is>
      </c>
      <c r="I1" s="1" t="inlineStr">
        <is>
          <t>Assets ready</t>
        </is>
      </c>
      <c r="J1" s="1" t="inlineStr">
        <is>
          <t>Animation done</t>
        </is>
      </c>
      <c r="K1" s="1" t="inlineStr">
        <is>
          <t>QA + export (banked)</t>
        </is>
      </c>
      <c r="L1" s="1" t="inlineStr">
        <is>
          <t>Actual banked date</t>
        </is>
      </c>
      <c r="M1" s="1" t="inlineStr">
        <is>
          <t>Bank level that day</t>
        </is>
      </c>
      <c r="N1" s="1" t="inlineStr">
        <is>
          <t>Notes</t>
        </is>
      </c>
    </row>
    <row r="2">
      <c r="A2" s="2" t="n">
        <v>1</v>
      </c>
      <c r="B2" s="2" t="inlineStr">
        <is>
          <t>2026-10-31</t>
        </is>
      </c>
      <c r="C2" s="2" t="inlineStr">
        <is>
          <t>WS-001</t>
        </is>
      </c>
      <c r="D2" s="2" t="inlineStr">
        <is>
          <t>H</t>
        </is>
      </c>
      <c r="E2" s="2" t="inlineStr">
        <is>
          <t>pre-launch</t>
        </is>
      </c>
      <c r="F2" s="2" t="inlineStr">
        <is>
          <t>2026-10-17</t>
        </is>
      </c>
      <c r="G2" s="2" t="inlineStr">
        <is>
          <t>see 20 §2.3</t>
        </is>
      </c>
      <c r="H2" s="2" t="inlineStr">
        <is>
          <t>see 20 §2.3</t>
        </is>
      </c>
      <c r="I2" s="2" t="inlineStr">
        <is>
          <t>see 20 §2.3</t>
        </is>
      </c>
      <c r="J2" s="2" t="inlineStr">
        <is>
          <t>see 20 §2.3</t>
        </is>
      </c>
      <c r="K2" s="2" t="inlineStr">
        <is>
          <t>2026-10-28</t>
        </is>
      </c>
      <c r="L2" s="3" t="inlineStr"/>
      <c r="M2" s="3" t="inlineStr"/>
      <c r="N2" s="3" t="inlineStr"/>
    </row>
    <row r="3">
      <c r="A3" s="2" t="n">
        <v>2</v>
      </c>
      <c r="B3" s="2" t="inlineStr">
        <is>
          <t>2026-11-01</t>
        </is>
      </c>
      <c r="C3" s="2" t="inlineStr">
        <is>
          <t>WS-002</t>
        </is>
      </c>
      <c r="D3" s="2" t="inlineStr">
        <is>
          <t>M</t>
        </is>
      </c>
      <c r="E3" s="2" t="inlineStr">
        <is>
          <t>pre-launch</t>
        </is>
      </c>
      <c r="F3" s="2" t="inlineStr">
        <is>
          <t>2026-10-17</t>
        </is>
      </c>
      <c r="G3" s="2" t="inlineStr">
        <is>
          <t>see 20 §2.3</t>
        </is>
      </c>
      <c r="H3" s="2" t="inlineStr">
        <is>
          <t>see 20 §2.3</t>
        </is>
      </c>
      <c r="I3" s="2" t="inlineStr">
        <is>
          <t>see 20 §2.3</t>
        </is>
      </c>
      <c r="J3" s="2" t="inlineStr">
        <is>
          <t>see 20 §2.3</t>
        </is>
      </c>
      <c r="K3" s="2" t="inlineStr">
        <is>
          <t>2026-10-28</t>
        </is>
      </c>
      <c r="L3" s="3" t="inlineStr"/>
      <c r="M3" s="3" t="inlineStr"/>
      <c r="N3" s="3" t="inlineStr"/>
    </row>
    <row r="4">
      <c r="A4" s="2" t="n">
        <v>3</v>
      </c>
      <c r="B4" s="2" t="inlineStr">
        <is>
          <t>2026-11-02</t>
        </is>
      </c>
      <c r="C4" s="2" t="inlineStr">
        <is>
          <t>WS-003</t>
        </is>
      </c>
      <c r="D4" s="2" t="inlineStr">
        <is>
          <t>H</t>
        </is>
      </c>
      <c r="E4" s="2" t="inlineStr">
        <is>
          <t>pre-launch</t>
        </is>
      </c>
      <c r="F4" s="2" t="inlineStr">
        <is>
          <t>2026-10-17</t>
        </is>
      </c>
      <c r="G4" s="2" t="inlineStr">
        <is>
          <t>see 20 §2.3</t>
        </is>
      </c>
      <c r="H4" s="2" t="inlineStr">
        <is>
          <t>see 20 §2.3</t>
        </is>
      </c>
      <c r="I4" s="2" t="inlineStr">
        <is>
          <t>see 20 §2.3</t>
        </is>
      </c>
      <c r="J4" s="2" t="inlineStr">
        <is>
          <t>see 20 §2.3</t>
        </is>
      </c>
      <c r="K4" s="2" t="inlineStr">
        <is>
          <t>2026-10-28</t>
        </is>
      </c>
      <c r="L4" s="3" t="inlineStr"/>
      <c r="M4" s="3" t="inlineStr"/>
      <c r="N4" s="3" t="inlineStr"/>
    </row>
    <row r="5">
      <c r="A5" s="2" t="n">
        <v>4</v>
      </c>
      <c r="B5" s="2" t="inlineStr">
        <is>
          <t>2026-11-03</t>
        </is>
      </c>
      <c r="C5" s="2" t="inlineStr">
        <is>
          <t>WS-004</t>
        </is>
      </c>
      <c r="D5" s="2" t="inlineStr">
        <is>
          <t>L</t>
        </is>
      </c>
      <c r="E5" s="2" t="inlineStr">
        <is>
          <t>pre-launch</t>
        </is>
      </c>
      <c r="F5" s="2" t="inlineStr">
        <is>
          <t>2026-10-17</t>
        </is>
      </c>
      <c r="G5" s="2" t="inlineStr">
        <is>
          <t>see 20 §2.3</t>
        </is>
      </c>
      <c r="H5" s="2" t="inlineStr">
        <is>
          <t>see 20 §2.3</t>
        </is>
      </c>
      <c r="I5" s="2" t="inlineStr">
        <is>
          <t>see 20 §2.3</t>
        </is>
      </c>
      <c r="J5" s="2" t="inlineStr">
        <is>
          <t>see 20 §2.3</t>
        </is>
      </c>
      <c r="K5" s="2" t="inlineStr">
        <is>
          <t>2026-10-28</t>
        </is>
      </c>
      <c r="L5" s="3" t="inlineStr"/>
      <c r="M5" s="3" t="inlineStr"/>
      <c r="N5" s="3" t="inlineStr"/>
    </row>
    <row r="6">
      <c r="A6" s="2" t="n">
        <v>5</v>
      </c>
      <c r="B6" s="2" t="inlineStr">
        <is>
          <t>2026-11-04</t>
        </is>
      </c>
      <c r="C6" s="2" t="inlineStr">
        <is>
          <t>WS-005</t>
        </is>
      </c>
      <c r="D6" s="2" t="inlineStr">
        <is>
          <t>M</t>
        </is>
      </c>
      <c r="E6" s="2" t="inlineStr">
        <is>
          <t>pre-launch</t>
        </is>
      </c>
      <c r="F6" s="2" t="inlineStr">
        <is>
          <t>2026-10-17</t>
        </is>
      </c>
      <c r="G6" s="2" t="inlineStr">
        <is>
          <t>see 20 §2.3</t>
        </is>
      </c>
      <c r="H6" s="2" t="inlineStr">
        <is>
          <t>see 20 §2.3</t>
        </is>
      </c>
      <c r="I6" s="2" t="inlineStr">
        <is>
          <t>see 20 §2.3</t>
        </is>
      </c>
      <c r="J6" s="2" t="inlineStr">
        <is>
          <t>see 20 §2.3</t>
        </is>
      </c>
      <c r="K6" s="2" t="inlineStr">
        <is>
          <t>2026-10-28</t>
        </is>
      </c>
      <c r="L6" s="3" t="inlineStr"/>
      <c r="M6" s="3" t="inlineStr"/>
      <c r="N6" s="3" t="inlineStr"/>
    </row>
    <row r="7">
      <c r="A7" s="2" t="n">
        <v>6</v>
      </c>
      <c r="B7" s="2" t="inlineStr">
        <is>
          <t>2026-11-05</t>
        </is>
      </c>
      <c r="C7" s="2" t="inlineStr">
        <is>
          <t>WS-006</t>
        </is>
      </c>
      <c r="D7" s="2" t="inlineStr">
        <is>
          <t>H</t>
        </is>
      </c>
      <c r="E7" s="2" t="inlineStr">
        <is>
          <t>pre-launch</t>
        </is>
      </c>
      <c r="F7" s="2" t="inlineStr">
        <is>
          <t>2026-10-21</t>
        </is>
      </c>
      <c r="G7" s="2" t="inlineStr">
        <is>
          <t>see 20 §2.3</t>
        </is>
      </c>
      <c r="H7" s="2" t="inlineStr">
        <is>
          <t>see 20 §2.3</t>
        </is>
      </c>
      <c r="I7" s="2" t="inlineStr">
        <is>
          <t>see 20 §2.3</t>
        </is>
      </c>
      <c r="J7" s="2" t="inlineStr">
        <is>
          <t>see 20 §2.3</t>
        </is>
      </c>
      <c r="K7" s="2" t="inlineStr">
        <is>
          <t>2026-11-02</t>
        </is>
      </c>
      <c r="L7" s="3" t="inlineStr"/>
      <c r="M7" s="3" t="inlineStr"/>
      <c r="N7" s="3" t="inlineStr"/>
    </row>
    <row r="8">
      <c r="A8" s="2" t="n">
        <v>7</v>
      </c>
      <c r="B8" s="2" t="inlineStr">
        <is>
          <t>2026-11-06</t>
        </is>
      </c>
      <c r="C8" s="2" t="inlineStr">
        <is>
          <t>WS-007</t>
        </is>
      </c>
      <c r="D8" s="2" t="inlineStr">
        <is>
          <t>M</t>
        </is>
      </c>
      <c r="E8" s="2" t="inlineStr">
        <is>
          <t>pre-launch</t>
        </is>
      </c>
      <c r="F8" s="2" t="inlineStr">
        <is>
          <t>2026-10-21</t>
        </is>
      </c>
      <c r="G8" s="2" t="inlineStr">
        <is>
          <t>see 20 §2.3</t>
        </is>
      </c>
      <c r="H8" s="2" t="inlineStr">
        <is>
          <t>see 20 §2.3</t>
        </is>
      </c>
      <c r="I8" s="2" t="inlineStr">
        <is>
          <t>see 20 §2.3</t>
        </is>
      </c>
      <c r="J8" s="2" t="inlineStr">
        <is>
          <t>see 20 §2.3</t>
        </is>
      </c>
      <c r="K8" s="2" t="inlineStr">
        <is>
          <t>2026-11-03</t>
        </is>
      </c>
      <c r="L8" s="3" t="inlineStr"/>
      <c r="M8" s="3" t="inlineStr"/>
      <c r="N8" s="3" t="inlineStr"/>
    </row>
    <row r="9">
      <c r="A9" s="2" t="n">
        <v>8</v>
      </c>
      <c r="B9" s="2" t="inlineStr">
        <is>
          <t>2026-11-07</t>
        </is>
      </c>
      <c r="C9" s="2" t="inlineStr">
        <is>
          <t>WS-008</t>
        </is>
      </c>
      <c r="D9" s="2" t="inlineStr">
        <is>
          <t>M</t>
        </is>
      </c>
      <c r="E9" s="2" t="inlineStr">
        <is>
          <t>2026-10-24</t>
        </is>
      </c>
      <c r="F9" s="2" t="inlineStr">
        <is>
          <t>2026-10-28</t>
        </is>
      </c>
      <c r="G9" s="2" t="inlineStr">
        <is>
          <t>2026-10-30</t>
        </is>
      </c>
      <c r="H9" s="2" t="inlineStr">
        <is>
          <t>2026-10-31</t>
        </is>
      </c>
      <c r="I9" s="2" t="inlineStr">
        <is>
          <t>2026-11-01</t>
        </is>
      </c>
      <c r="J9" s="2" t="inlineStr">
        <is>
          <t>2026-11-03</t>
        </is>
      </c>
      <c r="K9" s="2" t="inlineStr">
        <is>
          <t>2026-11-04</t>
        </is>
      </c>
      <c r="L9" s="3" t="inlineStr"/>
      <c r="M9" s="3" t="inlineStr"/>
      <c r="N9" s="3" t="inlineStr"/>
    </row>
    <row r="10">
      <c r="A10" s="2" t="n">
        <v>9</v>
      </c>
      <c r="B10" s="2" t="inlineStr">
        <is>
          <t>2026-11-08</t>
        </is>
      </c>
      <c r="C10" s="2" t="inlineStr">
        <is>
          <t>WS-009</t>
        </is>
      </c>
      <c r="D10" s="2" t="inlineStr">
        <is>
          <t>M</t>
        </is>
      </c>
      <c r="E10" s="2" t="inlineStr">
        <is>
          <t>2026-10-25</t>
        </is>
      </c>
      <c r="F10" s="2" t="inlineStr">
        <is>
          <t>2026-10-29</t>
        </is>
      </c>
      <c r="G10" s="2" t="inlineStr">
        <is>
          <t>2026-10-31</t>
        </is>
      </c>
      <c r="H10" s="2" t="inlineStr">
        <is>
          <t>2026-11-01</t>
        </is>
      </c>
      <c r="I10" s="2" t="inlineStr">
        <is>
          <t>2026-11-02</t>
        </is>
      </c>
      <c r="J10" s="2" t="inlineStr">
        <is>
          <t>2026-11-04</t>
        </is>
      </c>
      <c r="K10" s="2" t="inlineStr">
        <is>
          <t>2026-11-05</t>
        </is>
      </c>
      <c r="L10" s="3" t="inlineStr"/>
      <c r="M10" s="3" t="inlineStr"/>
      <c r="N10" s="3" t="inlineStr"/>
    </row>
    <row r="11">
      <c r="A11" s="2" t="n">
        <v>10</v>
      </c>
      <c r="B11" s="2" t="inlineStr">
        <is>
          <t>2026-11-09</t>
        </is>
      </c>
      <c r="C11" s="2" t="inlineStr">
        <is>
          <t>WS-010</t>
        </is>
      </c>
      <c r="D11" s="2" t="inlineStr">
        <is>
          <t>M</t>
        </is>
      </c>
      <c r="E11" s="2" t="inlineStr">
        <is>
          <t>2026-10-26</t>
        </is>
      </c>
      <c r="F11" s="2" t="inlineStr">
        <is>
          <t>2026-10-30</t>
        </is>
      </c>
      <c r="G11" s="2" t="inlineStr">
        <is>
          <t>2026-11-01</t>
        </is>
      </c>
      <c r="H11" s="2" t="inlineStr">
        <is>
          <t>2026-11-02</t>
        </is>
      </c>
      <c r="I11" s="2" t="inlineStr">
        <is>
          <t>2026-11-03</t>
        </is>
      </c>
      <c r="J11" s="2" t="inlineStr">
        <is>
          <t>2026-11-05</t>
        </is>
      </c>
      <c r="K11" s="2" t="inlineStr">
        <is>
          <t>2026-11-06</t>
        </is>
      </c>
      <c r="L11" s="3" t="inlineStr"/>
      <c r="M11" s="3" t="inlineStr"/>
      <c r="N11" s="3" t="inlineStr"/>
    </row>
    <row r="12">
      <c r="A12" s="2" t="n">
        <v>11</v>
      </c>
      <c r="B12" s="2" t="inlineStr">
        <is>
          <t>2026-11-10</t>
        </is>
      </c>
      <c r="C12" s="2" t="inlineStr">
        <is>
          <t>WS-011</t>
        </is>
      </c>
      <c r="D12" s="2" t="inlineStr">
        <is>
          <t>M</t>
        </is>
      </c>
      <c r="E12" s="2" t="inlineStr">
        <is>
          <t>2026-10-27</t>
        </is>
      </c>
      <c r="F12" s="2" t="inlineStr">
        <is>
          <t>2026-10-31</t>
        </is>
      </c>
      <c r="G12" s="2" t="inlineStr">
        <is>
          <t>2026-11-02</t>
        </is>
      </c>
      <c r="H12" s="2" t="inlineStr">
        <is>
          <t>2026-11-03</t>
        </is>
      </c>
      <c r="I12" s="2" t="inlineStr">
        <is>
          <t>2026-11-04</t>
        </is>
      </c>
      <c r="J12" s="2" t="inlineStr">
        <is>
          <t>2026-11-06</t>
        </is>
      </c>
      <c r="K12" s="2" t="inlineStr">
        <is>
          <t>2026-11-07</t>
        </is>
      </c>
      <c r="L12" s="3" t="inlineStr"/>
      <c r="M12" s="3" t="inlineStr"/>
      <c r="N12" s="3" t="inlineStr"/>
    </row>
    <row r="13">
      <c r="A13" s="2" t="n">
        <v>12</v>
      </c>
      <c r="B13" s="2" t="inlineStr">
        <is>
          <t>2026-11-11</t>
        </is>
      </c>
      <c r="C13" s="2" t="inlineStr">
        <is>
          <t>WS-012</t>
        </is>
      </c>
      <c r="D13" s="2" t="inlineStr">
        <is>
          <t>M</t>
        </is>
      </c>
      <c r="E13" s="2" t="inlineStr">
        <is>
          <t>2026-10-28</t>
        </is>
      </c>
      <c r="F13" s="2" t="inlineStr">
        <is>
          <t>2026-11-01</t>
        </is>
      </c>
      <c r="G13" s="2" t="inlineStr">
        <is>
          <t>2026-11-03</t>
        </is>
      </c>
      <c r="H13" s="2" t="inlineStr">
        <is>
          <t>2026-11-04</t>
        </is>
      </c>
      <c r="I13" s="2" t="inlineStr">
        <is>
          <t>2026-11-05</t>
        </is>
      </c>
      <c r="J13" s="2" t="inlineStr">
        <is>
          <t>2026-11-07</t>
        </is>
      </c>
      <c r="K13" s="2" t="inlineStr">
        <is>
          <t>2026-11-08</t>
        </is>
      </c>
      <c r="L13" s="3" t="inlineStr"/>
      <c r="M13" s="3" t="inlineStr"/>
      <c r="N13" s="3" t="inlineStr"/>
    </row>
    <row r="14">
      <c r="A14" s="2" t="n">
        <v>13</v>
      </c>
      <c r="B14" s="2" t="inlineStr">
        <is>
          <t>2026-11-12</t>
        </is>
      </c>
      <c r="C14" s="2" t="inlineStr">
        <is>
          <t>WS-013</t>
        </is>
      </c>
      <c r="D14" s="2" t="inlineStr">
        <is>
          <t>M</t>
        </is>
      </c>
      <c r="E14" s="2" t="inlineStr">
        <is>
          <t>2026-10-29</t>
        </is>
      </c>
      <c r="F14" s="2" t="inlineStr">
        <is>
          <t>2026-11-02</t>
        </is>
      </c>
      <c r="G14" s="2" t="inlineStr">
        <is>
          <t>2026-11-04</t>
        </is>
      </c>
      <c r="H14" s="2" t="inlineStr">
        <is>
          <t>2026-11-05</t>
        </is>
      </c>
      <c r="I14" s="2" t="inlineStr">
        <is>
          <t>2026-11-06</t>
        </is>
      </c>
      <c r="J14" s="2" t="inlineStr">
        <is>
          <t>2026-11-08</t>
        </is>
      </c>
      <c r="K14" s="2" t="inlineStr">
        <is>
          <t>2026-11-09</t>
        </is>
      </c>
      <c r="L14" s="3" t="inlineStr"/>
      <c r="M14" s="3" t="inlineStr"/>
      <c r="N14" s="3" t="inlineStr"/>
    </row>
    <row r="15">
      <c r="A15" s="2" t="n">
        <v>14</v>
      </c>
      <c r="B15" s="2" t="inlineStr">
        <is>
          <t>2026-11-13</t>
        </is>
      </c>
      <c r="C15" s="2" t="inlineStr">
        <is>
          <t>WS-014</t>
        </is>
      </c>
      <c r="D15" s="2" t="inlineStr">
        <is>
          <t>M</t>
        </is>
      </c>
      <c r="E15" s="2" t="inlineStr">
        <is>
          <t>2026-10-30</t>
        </is>
      </c>
      <c r="F15" s="2" t="inlineStr">
        <is>
          <t>2026-11-03</t>
        </is>
      </c>
      <c r="G15" s="2" t="inlineStr">
        <is>
          <t>2026-11-05</t>
        </is>
      </c>
      <c r="H15" s="2" t="inlineStr">
        <is>
          <t>2026-11-06</t>
        </is>
      </c>
      <c r="I15" s="2" t="inlineStr">
        <is>
          <t>2026-11-07</t>
        </is>
      </c>
      <c r="J15" s="2" t="inlineStr">
        <is>
          <t>2026-11-09</t>
        </is>
      </c>
      <c r="K15" s="2" t="inlineStr">
        <is>
          <t>2026-11-10</t>
        </is>
      </c>
      <c r="L15" s="3" t="inlineStr"/>
      <c r="M15" s="3" t="inlineStr"/>
      <c r="N15" s="3" t="inlineStr"/>
    </row>
    <row r="16">
      <c r="A16" s="2" t="n">
        <v>15</v>
      </c>
      <c r="B16" s="2" t="inlineStr">
        <is>
          <t>2026-11-14</t>
        </is>
      </c>
      <c r="C16" s="2" t="inlineStr">
        <is>
          <t>WS-015</t>
        </is>
      </c>
      <c r="D16" s="2" t="inlineStr">
        <is>
          <t>H</t>
        </is>
      </c>
      <c r="E16" s="2" t="inlineStr">
        <is>
          <t>2026-10-31</t>
        </is>
      </c>
      <c r="F16" s="2" t="inlineStr">
        <is>
          <t>2026-11-04</t>
        </is>
      </c>
      <c r="G16" s="2" t="inlineStr">
        <is>
          <t>2026-11-06</t>
        </is>
      </c>
      <c r="H16" s="2" t="inlineStr">
        <is>
          <t>2026-11-07</t>
        </is>
      </c>
      <c r="I16" s="2" t="inlineStr">
        <is>
          <t>2026-11-08</t>
        </is>
      </c>
      <c r="J16" s="2" t="inlineStr">
        <is>
          <t>2026-11-10</t>
        </is>
      </c>
      <c r="K16" s="2" t="inlineStr">
        <is>
          <t>2026-11-11</t>
        </is>
      </c>
      <c r="L16" s="3" t="inlineStr"/>
      <c r="M16" s="3" t="inlineStr"/>
      <c r="N16" s="3" t="inlineStr"/>
    </row>
    <row r="17">
      <c r="A17" s="2" t="n">
        <v>16</v>
      </c>
      <c r="B17" s="2" t="inlineStr">
        <is>
          <t>2026-11-15</t>
        </is>
      </c>
      <c r="C17" s="2" t="inlineStr">
        <is>
          <t>WS-016</t>
        </is>
      </c>
      <c r="D17" s="2" t="inlineStr">
        <is>
          <t>M</t>
        </is>
      </c>
      <c r="E17" s="2" t="inlineStr">
        <is>
          <t>2026-11-01</t>
        </is>
      </c>
      <c r="F17" s="2" t="inlineStr">
        <is>
          <t>2026-11-05</t>
        </is>
      </c>
      <c r="G17" s="2" t="inlineStr">
        <is>
          <t>2026-11-07</t>
        </is>
      </c>
      <c r="H17" s="2" t="inlineStr">
        <is>
          <t>2026-11-08</t>
        </is>
      </c>
      <c r="I17" s="2" t="inlineStr">
        <is>
          <t>2026-11-09</t>
        </is>
      </c>
      <c r="J17" s="2" t="inlineStr">
        <is>
          <t>2026-11-11</t>
        </is>
      </c>
      <c r="K17" s="2" t="inlineStr">
        <is>
          <t>2026-11-12</t>
        </is>
      </c>
      <c r="L17" s="3" t="inlineStr"/>
      <c r="M17" s="3" t="inlineStr"/>
      <c r="N17" s="3" t="inlineStr"/>
    </row>
    <row r="18">
      <c r="A18" s="2" t="n">
        <v>17</v>
      </c>
      <c r="B18" s="2" t="inlineStr">
        <is>
          <t>2026-11-16</t>
        </is>
      </c>
      <c r="C18" s="2" t="inlineStr">
        <is>
          <t>WS-017</t>
        </is>
      </c>
      <c r="D18" s="2" t="inlineStr">
        <is>
          <t>M</t>
        </is>
      </c>
      <c r="E18" s="2" t="inlineStr">
        <is>
          <t>2026-11-02</t>
        </is>
      </c>
      <c r="F18" s="2" t="inlineStr">
        <is>
          <t>2026-11-06</t>
        </is>
      </c>
      <c r="G18" s="2" t="inlineStr">
        <is>
          <t>2026-11-08</t>
        </is>
      </c>
      <c r="H18" s="2" t="inlineStr">
        <is>
          <t>2026-11-09</t>
        </is>
      </c>
      <c r="I18" s="2" t="inlineStr">
        <is>
          <t>2026-11-10</t>
        </is>
      </c>
      <c r="J18" s="2" t="inlineStr">
        <is>
          <t>2026-11-12</t>
        </is>
      </c>
      <c r="K18" s="2" t="inlineStr">
        <is>
          <t>2026-11-13</t>
        </is>
      </c>
      <c r="L18" s="3" t="inlineStr"/>
      <c r="M18" s="3" t="inlineStr"/>
      <c r="N18" s="3" t="inlineStr"/>
    </row>
    <row r="19">
      <c r="A19" s="2" t="n">
        <v>18</v>
      </c>
      <c r="B19" s="2" t="inlineStr">
        <is>
          <t>2026-11-17</t>
        </is>
      </c>
      <c r="C19" s="2" t="inlineStr">
        <is>
          <t>WS-018</t>
        </is>
      </c>
      <c r="D19" s="2" t="inlineStr">
        <is>
          <t>M</t>
        </is>
      </c>
      <c r="E19" s="2" t="inlineStr">
        <is>
          <t>2026-11-03</t>
        </is>
      </c>
      <c r="F19" s="2" t="inlineStr">
        <is>
          <t>2026-11-07</t>
        </is>
      </c>
      <c r="G19" s="2" t="inlineStr">
        <is>
          <t>2026-11-09</t>
        </is>
      </c>
      <c r="H19" s="2" t="inlineStr">
        <is>
          <t>2026-11-10</t>
        </is>
      </c>
      <c r="I19" s="2" t="inlineStr">
        <is>
          <t>2026-11-11</t>
        </is>
      </c>
      <c r="J19" s="2" t="inlineStr">
        <is>
          <t>2026-11-13</t>
        </is>
      </c>
      <c r="K19" s="2" t="inlineStr">
        <is>
          <t>2026-11-14</t>
        </is>
      </c>
      <c r="L19" s="3" t="inlineStr"/>
      <c r="M19" s="3" t="inlineStr"/>
      <c r="N19" s="3" t="inlineStr"/>
    </row>
    <row r="20">
      <c r="A20" s="2" t="n">
        <v>19</v>
      </c>
      <c r="B20" s="2" t="inlineStr">
        <is>
          <t>2026-11-18</t>
        </is>
      </c>
      <c r="C20" s="2" t="inlineStr">
        <is>
          <t>WS-019</t>
        </is>
      </c>
      <c r="D20" s="2" t="inlineStr">
        <is>
          <t>L</t>
        </is>
      </c>
      <c r="E20" s="2" t="inlineStr">
        <is>
          <t>2026-11-04</t>
        </is>
      </c>
      <c r="F20" s="2" t="inlineStr">
        <is>
          <t>2026-11-08</t>
        </is>
      </c>
      <c r="G20" s="2" t="inlineStr">
        <is>
          <t>2026-11-10</t>
        </is>
      </c>
      <c r="H20" s="2" t="inlineStr">
        <is>
          <t>2026-11-11</t>
        </is>
      </c>
      <c r="I20" s="2" t="inlineStr">
        <is>
          <t>2026-11-12</t>
        </is>
      </c>
      <c r="J20" s="2" t="inlineStr">
        <is>
          <t>2026-11-14</t>
        </is>
      </c>
      <c r="K20" s="2" t="inlineStr">
        <is>
          <t>2026-11-15</t>
        </is>
      </c>
      <c r="L20" s="3" t="inlineStr"/>
      <c r="M20" s="3" t="inlineStr"/>
      <c r="N20" s="3" t="inlineStr"/>
    </row>
    <row r="21">
      <c r="A21" s="2" t="n">
        <v>20</v>
      </c>
      <c r="B21" s="2" t="inlineStr">
        <is>
          <t>2026-11-19</t>
        </is>
      </c>
      <c r="C21" s="2" t="inlineStr">
        <is>
          <t>WS-020</t>
        </is>
      </c>
      <c r="D21" s="2" t="inlineStr">
        <is>
          <t>M</t>
        </is>
      </c>
      <c r="E21" s="2" t="inlineStr">
        <is>
          <t>2026-11-05</t>
        </is>
      </c>
      <c r="F21" s="2" t="inlineStr">
        <is>
          <t>2026-11-09</t>
        </is>
      </c>
      <c r="G21" s="2" t="inlineStr">
        <is>
          <t>2026-11-11</t>
        </is>
      </c>
      <c r="H21" s="2" t="inlineStr">
        <is>
          <t>2026-11-12</t>
        </is>
      </c>
      <c r="I21" s="2" t="inlineStr">
        <is>
          <t>2026-11-13</t>
        </is>
      </c>
      <c r="J21" s="2" t="inlineStr">
        <is>
          <t>2026-11-15</t>
        </is>
      </c>
      <c r="K21" s="2" t="inlineStr">
        <is>
          <t>2026-11-16</t>
        </is>
      </c>
      <c r="L21" s="3" t="inlineStr"/>
      <c r="M21" s="3" t="inlineStr"/>
      <c r="N21" s="3" t="inlineStr"/>
    </row>
    <row r="22">
      <c r="A22" s="2" t="n">
        <v>21</v>
      </c>
      <c r="B22" s="2" t="inlineStr">
        <is>
          <t>2026-11-20</t>
        </is>
      </c>
      <c r="C22" s="2" t="inlineStr">
        <is>
          <t>WS-021</t>
        </is>
      </c>
      <c r="D22" s="2" t="inlineStr">
        <is>
          <t>M</t>
        </is>
      </c>
      <c r="E22" s="2" t="inlineStr">
        <is>
          <t>2026-11-06</t>
        </is>
      </c>
      <c r="F22" s="2" t="inlineStr">
        <is>
          <t>2026-11-10</t>
        </is>
      </c>
      <c r="G22" s="2" t="inlineStr">
        <is>
          <t>2026-11-12</t>
        </is>
      </c>
      <c r="H22" s="2" t="inlineStr">
        <is>
          <t>2026-11-13</t>
        </is>
      </c>
      <c r="I22" s="2" t="inlineStr">
        <is>
          <t>2026-11-14</t>
        </is>
      </c>
      <c r="J22" s="2" t="inlineStr">
        <is>
          <t>2026-11-16</t>
        </is>
      </c>
      <c r="K22" s="2" t="inlineStr">
        <is>
          <t>2026-11-17</t>
        </is>
      </c>
      <c r="L22" s="3" t="inlineStr"/>
      <c r="M22" s="3" t="inlineStr"/>
      <c r="N22" s="3" t="inlineStr"/>
    </row>
    <row r="23">
      <c r="A23" s="2" t="n">
        <v>22</v>
      </c>
      <c r="B23" s="2" t="inlineStr">
        <is>
          <t>2026-11-21</t>
        </is>
      </c>
      <c r="C23" s="2" t="inlineStr">
        <is>
          <t>WS-022</t>
        </is>
      </c>
      <c r="D23" s="2" t="inlineStr">
        <is>
          <t>H</t>
        </is>
      </c>
      <c r="E23" s="2" t="inlineStr">
        <is>
          <t>2026-11-07</t>
        </is>
      </c>
      <c r="F23" s="2" t="inlineStr">
        <is>
          <t>2026-11-11</t>
        </is>
      </c>
      <c r="G23" s="2" t="inlineStr">
        <is>
          <t>2026-11-13</t>
        </is>
      </c>
      <c r="H23" s="2" t="inlineStr">
        <is>
          <t>2026-11-14</t>
        </is>
      </c>
      <c r="I23" s="2" t="inlineStr">
        <is>
          <t>2026-11-15</t>
        </is>
      </c>
      <c r="J23" s="2" t="inlineStr">
        <is>
          <t>2026-11-17</t>
        </is>
      </c>
      <c r="K23" s="2" t="inlineStr">
        <is>
          <t>2026-11-18</t>
        </is>
      </c>
      <c r="L23" s="3" t="inlineStr"/>
      <c r="M23" s="3" t="inlineStr"/>
      <c r="N23" s="3" t="inlineStr"/>
    </row>
    <row r="24">
      <c r="A24" s="2" t="n">
        <v>23</v>
      </c>
      <c r="B24" s="2" t="inlineStr">
        <is>
          <t>2026-11-22</t>
        </is>
      </c>
      <c r="C24" s="2" t="inlineStr">
        <is>
          <t>WS-023</t>
        </is>
      </c>
      <c r="D24" s="2" t="inlineStr">
        <is>
          <t>M</t>
        </is>
      </c>
      <c r="E24" s="2" t="inlineStr">
        <is>
          <t>2026-11-08</t>
        </is>
      </c>
      <c r="F24" s="2" t="inlineStr">
        <is>
          <t>2026-11-12</t>
        </is>
      </c>
      <c r="G24" s="2" t="inlineStr">
        <is>
          <t>2026-11-14</t>
        </is>
      </c>
      <c r="H24" s="2" t="inlineStr">
        <is>
          <t>2026-11-15</t>
        </is>
      </c>
      <c r="I24" s="2" t="inlineStr">
        <is>
          <t>2026-11-16</t>
        </is>
      </c>
      <c r="J24" s="2" t="inlineStr">
        <is>
          <t>2026-11-18</t>
        </is>
      </c>
      <c r="K24" s="2" t="inlineStr">
        <is>
          <t>2026-11-19</t>
        </is>
      </c>
      <c r="L24" s="3" t="inlineStr"/>
      <c r="M24" s="3" t="inlineStr"/>
      <c r="N24" s="3" t="inlineStr"/>
    </row>
    <row r="25">
      <c r="A25" s="2" t="n">
        <v>24</v>
      </c>
      <c r="B25" s="2" t="inlineStr">
        <is>
          <t>2026-11-23</t>
        </is>
      </c>
      <c r="C25" s="2" t="inlineStr">
        <is>
          <t>WS-024</t>
        </is>
      </c>
      <c r="D25" s="2" t="inlineStr">
        <is>
          <t>L</t>
        </is>
      </c>
      <c r="E25" s="2" t="inlineStr">
        <is>
          <t>2026-11-09</t>
        </is>
      </c>
      <c r="F25" s="2" t="inlineStr">
        <is>
          <t>2026-11-13</t>
        </is>
      </c>
      <c r="G25" s="2" t="inlineStr">
        <is>
          <t>2026-11-15</t>
        </is>
      </c>
      <c r="H25" s="2" t="inlineStr">
        <is>
          <t>2026-11-16</t>
        </is>
      </c>
      <c r="I25" s="2" t="inlineStr">
        <is>
          <t>2026-11-17</t>
        </is>
      </c>
      <c r="J25" s="2" t="inlineStr">
        <is>
          <t>2026-11-19</t>
        </is>
      </c>
      <c r="K25" s="2" t="inlineStr">
        <is>
          <t>2026-11-20</t>
        </is>
      </c>
      <c r="L25" s="3" t="inlineStr"/>
      <c r="M25" s="3" t="inlineStr"/>
      <c r="N25" s="3" t="inlineStr"/>
    </row>
    <row r="26">
      <c r="A26" s="2" t="n">
        <v>25</v>
      </c>
      <c r="B26" s="2" t="inlineStr">
        <is>
          <t>2026-11-24</t>
        </is>
      </c>
      <c r="C26" s="2" t="inlineStr">
        <is>
          <t>WS-025</t>
        </is>
      </c>
      <c r="D26" s="2" t="inlineStr">
        <is>
          <t>M</t>
        </is>
      </c>
      <c r="E26" s="2" t="inlineStr">
        <is>
          <t>2026-11-10</t>
        </is>
      </c>
      <c r="F26" s="2" t="inlineStr">
        <is>
          <t>2026-11-14</t>
        </is>
      </c>
      <c r="G26" s="2" t="inlineStr">
        <is>
          <t>2026-11-16</t>
        </is>
      </c>
      <c r="H26" s="2" t="inlineStr">
        <is>
          <t>2026-11-17</t>
        </is>
      </c>
      <c r="I26" s="2" t="inlineStr">
        <is>
          <t>2026-11-18</t>
        </is>
      </c>
      <c r="J26" s="2" t="inlineStr">
        <is>
          <t>2026-11-20</t>
        </is>
      </c>
      <c r="K26" s="2" t="inlineStr">
        <is>
          <t>2026-11-21</t>
        </is>
      </c>
      <c r="L26" s="3" t="inlineStr"/>
      <c r="M26" s="3" t="inlineStr"/>
      <c r="N26" s="3" t="inlineStr"/>
    </row>
    <row r="27">
      <c r="A27" s="2" t="n">
        <v>26</v>
      </c>
      <c r="B27" s="2" t="inlineStr">
        <is>
          <t>2026-11-25</t>
        </is>
      </c>
      <c r="C27" s="2" t="inlineStr">
        <is>
          <t>WS-026</t>
        </is>
      </c>
      <c r="D27" s="2" t="inlineStr">
        <is>
          <t>M/H</t>
        </is>
      </c>
      <c r="E27" s="2" t="inlineStr">
        <is>
          <t>2026-11-11</t>
        </is>
      </c>
      <c r="F27" s="2" t="inlineStr">
        <is>
          <t>2026-11-15</t>
        </is>
      </c>
      <c r="G27" s="2" t="inlineStr">
        <is>
          <t>2026-11-17</t>
        </is>
      </c>
      <c r="H27" s="2" t="inlineStr">
        <is>
          <t>2026-11-18</t>
        </is>
      </c>
      <c r="I27" s="2" t="inlineStr">
        <is>
          <t>2026-11-19</t>
        </is>
      </c>
      <c r="J27" s="2" t="inlineStr">
        <is>
          <t>2026-11-21</t>
        </is>
      </c>
      <c r="K27" s="2" t="inlineStr">
        <is>
          <t>2026-11-22</t>
        </is>
      </c>
      <c r="L27" s="3" t="inlineStr"/>
      <c r="M27" s="3" t="inlineStr"/>
      <c r="N27" s="3" t="inlineStr"/>
    </row>
    <row r="28">
      <c r="A28" s="2" t="n">
        <v>27</v>
      </c>
      <c r="B28" s="2" t="inlineStr">
        <is>
          <t>2026-11-26</t>
        </is>
      </c>
      <c r="C28" s="2" t="inlineStr">
        <is>
          <t>WS-027</t>
        </is>
      </c>
      <c r="D28" s="2" t="inlineStr">
        <is>
          <t>L</t>
        </is>
      </c>
      <c r="E28" s="2" t="inlineStr">
        <is>
          <t>2026-11-12</t>
        </is>
      </c>
      <c r="F28" s="2" t="inlineStr">
        <is>
          <t>2026-11-16</t>
        </is>
      </c>
      <c r="G28" s="2" t="inlineStr">
        <is>
          <t>2026-11-18</t>
        </is>
      </c>
      <c r="H28" s="2" t="inlineStr">
        <is>
          <t>2026-11-19</t>
        </is>
      </c>
      <c r="I28" s="2" t="inlineStr">
        <is>
          <t>2026-11-20</t>
        </is>
      </c>
      <c r="J28" s="2" t="inlineStr">
        <is>
          <t>2026-11-22</t>
        </is>
      </c>
      <c r="K28" s="2" t="inlineStr">
        <is>
          <t>2026-11-23</t>
        </is>
      </c>
      <c r="L28" s="3" t="inlineStr"/>
      <c r="M28" s="3" t="inlineStr"/>
      <c r="N28" s="3" t="inlineStr"/>
    </row>
    <row r="29">
      <c r="A29" s="2" t="n">
        <v>28</v>
      </c>
      <c r="B29" s="2" t="inlineStr">
        <is>
          <t>2026-11-27</t>
        </is>
      </c>
      <c r="C29" s="2" t="inlineStr">
        <is>
          <t>WS-028</t>
        </is>
      </c>
      <c r="D29" s="2" t="inlineStr">
        <is>
          <t>M</t>
        </is>
      </c>
      <c r="E29" s="2" t="inlineStr">
        <is>
          <t>2026-11-13</t>
        </is>
      </c>
      <c r="F29" s="2" t="inlineStr">
        <is>
          <t>2026-11-17</t>
        </is>
      </c>
      <c r="G29" s="2" t="inlineStr">
        <is>
          <t>2026-11-19</t>
        </is>
      </c>
      <c r="H29" s="2" t="inlineStr">
        <is>
          <t>2026-11-20</t>
        </is>
      </c>
      <c r="I29" s="2" t="inlineStr">
        <is>
          <t>2026-11-21</t>
        </is>
      </c>
      <c r="J29" s="2" t="inlineStr">
        <is>
          <t>2026-11-23</t>
        </is>
      </c>
      <c r="K29" s="2" t="inlineStr">
        <is>
          <t>2026-11-24</t>
        </is>
      </c>
      <c r="L29" s="3" t="inlineStr"/>
      <c r="M29" s="3" t="inlineStr"/>
      <c r="N29" s="3" t="inlineStr"/>
    </row>
    <row r="30">
      <c r="A30" s="2" t="n">
        <v>29</v>
      </c>
      <c r="B30" s="2" t="inlineStr">
        <is>
          <t>2026-11-28</t>
        </is>
      </c>
      <c r="C30" s="2" t="inlineStr">
        <is>
          <t>WS-029</t>
        </is>
      </c>
      <c r="D30" s="2" t="inlineStr">
        <is>
          <t>M</t>
        </is>
      </c>
      <c r="E30" s="2" t="inlineStr">
        <is>
          <t>2026-11-14</t>
        </is>
      </c>
      <c r="F30" s="2" t="inlineStr">
        <is>
          <t>2026-11-18</t>
        </is>
      </c>
      <c r="G30" s="2" t="inlineStr">
        <is>
          <t>2026-11-20</t>
        </is>
      </c>
      <c r="H30" s="2" t="inlineStr">
        <is>
          <t>2026-11-21</t>
        </is>
      </c>
      <c r="I30" s="2" t="inlineStr">
        <is>
          <t>2026-11-22</t>
        </is>
      </c>
      <c r="J30" s="2" t="inlineStr">
        <is>
          <t>2026-11-24</t>
        </is>
      </c>
      <c r="K30" s="2" t="inlineStr">
        <is>
          <t>2026-11-25</t>
        </is>
      </c>
      <c r="L30" s="3" t="inlineStr"/>
      <c r="M30" s="3" t="inlineStr"/>
      <c r="N30" s="3" t="inlineStr"/>
    </row>
    <row r="31">
      <c r="A31" s="2" t="n">
        <v>30</v>
      </c>
      <c r="B31" s="2" t="inlineStr">
        <is>
          <t>2026-11-29</t>
        </is>
      </c>
      <c r="C31" s="2" t="inlineStr">
        <is>
          <t>WS-030</t>
        </is>
      </c>
      <c r="D31" s="2" t="inlineStr">
        <is>
          <t>H</t>
        </is>
      </c>
      <c r="E31" s="2" t="inlineStr">
        <is>
          <t>2026-11-15</t>
        </is>
      </c>
      <c r="F31" s="2" t="inlineStr">
        <is>
          <t>2026-11-19</t>
        </is>
      </c>
      <c r="G31" s="2" t="inlineStr">
        <is>
          <t>2026-11-21</t>
        </is>
      </c>
      <c r="H31" s="2" t="inlineStr">
        <is>
          <t>2026-11-22</t>
        </is>
      </c>
      <c r="I31" s="2" t="inlineStr">
        <is>
          <t>2026-11-23</t>
        </is>
      </c>
      <c r="J31" s="2" t="inlineStr">
        <is>
          <t>2026-11-25</t>
        </is>
      </c>
      <c r="K31" s="2" t="inlineStr">
        <is>
          <t>2026-11-26</t>
        </is>
      </c>
      <c r="L31" s="3" t="inlineStr"/>
      <c r="M31" s="3" t="inlineStr"/>
      <c r="N31" s="3" t="inlineStr"/>
    </row>
  </sheetData>
  <autoFilter ref="A1:N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0" customWidth="1" min="3" max="3"/>
    <col width="10" customWidth="1" min="4" max="4"/>
    <col width="10" customWidth="1" min="5" max="5"/>
    <col width="10" customWidth="1" min="6" max="6"/>
  </cols>
  <sheetData>
    <row r="1">
      <c r="A1" s="1" t="inlineStr">
        <is>
          <t>Episode</t>
        </is>
      </c>
      <c r="B1" s="1" t="inlineStr">
        <is>
          <t>Tier</t>
        </is>
      </c>
      <c r="C1" s="1" t="inlineStr">
        <is>
          <t>Stage (12 §5)</t>
        </is>
      </c>
      <c r="D1" s="1" t="inlineStr">
        <is>
          <t>Estimate (h)</t>
        </is>
      </c>
      <c r="E1" s="1" t="inlineStr">
        <is>
          <t>Actual (h)</t>
        </is>
      </c>
      <c r="F1" s="1" t="inlineStr">
        <is>
          <t>Notes</t>
        </is>
      </c>
    </row>
    <row r="2">
      <c r="A2" s="2" t="inlineStr">
        <is>
          <t>WS-001</t>
        </is>
      </c>
      <c r="B2" s="2" t="inlineStr">
        <is>
          <t>H</t>
        </is>
      </c>
      <c r="C2" s="2" t="inlineStr">
        <is>
          <t>Topic + research + claims</t>
        </is>
      </c>
      <c r="D2" s="2" t="n">
        <v>1.5</v>
      </c>
      <c r="E2" s="3" t="inlineStr"/>
      <c r="F2" s="2" t="inlineStr"/>
    </row>
    <row r="3">
      <c r="A3" s="2" t="inlineStr">
        <is>
          <t>WS-001</t>
        </is>
      </c>
      <c r="B3" s="2" t="inlineStr">
        <is>
          <t>H</t>
        </is>
      </c>
      <c r="C3" s="2" t="inlineStr">
        <is>
          <t>Rules + hook + script + timed read</t>
        </is>
      </c>
      <c r="D3" s="2" t="n">
        <v>2.5</v>
      </c>
      <c r="E3" s="3" t="inlineStr"/>
      <c r="F3" s="2" t="inlineStr"/>
    </row>
    <row r="4">
      <c r="A4" s="2" t="inlineStr">
        <is>
          <t>WS-001</t>
        </is>
      </c>
      <c r="B4" s="2" t="inlineStr">
        <is>
          <t>H</t>
        </is>
      </c>
      <c r="C4" s="2" t="inlineStr">
        <is>
          <t>Storyboard / animatic</t>
        </is>
      </c>
      <c r="D4" s="2" t="n">
        <v>1.5</v>
      </c>
      <c r="E4" s="3" t="inlineStr"/>
      <c r="F4" s="2" t="inlineStr"/>
    </row>
    <row r="5">
      <c r="A5" s="2" t="inlineStr">
        <is>
          <t>WS-001</t>
        </is>
      </c>
      <c r="B5" s="2" t="inlineStr">
        <is>
          <t>H</t>
        </is>
      </c>
      <c r="C5" s="2" t="inlineStr">
        <is>
          <t>Assets</t>
        </is>
      </c>
      <c r="D5" s="2" t="n">
        <v>4</v>
      </c>
      <c r="E5" s="3" t="inlineStr"/>
      <c r="F5" s="2" t="inlineStr"/>
    </row>
    <row r="6">
      <c r="A6" s="2" t="inlineStr">
        <is>
          <t>WS-001</t>
        </is>
      </c>
      <c r="B6" s="2" t="inlineStr">
        <is>
          <t>H</t>
        </is>
      </c>
      <c r="C6" s="2" t="inlineStr">
        <is>
          <t>Animation</t>
        </is>
      </c>
      <c r="D6" s="2" t="n">
        <v>8</v>
      </c>
      <c r="E6" s="3" t="inlineStr"/>
      <c r="F6" s="2" t="inlineStr"/>
    </row>
    <row r="7">
      <c r="A7" s="2" t="inlineStr">
        <is>
          <t>WS-001</t>
        </is>
      </c>
      <c r="B7" s="2" t="inlineStr">
        <is>
          <t>H</t>
        </is>
      </c>
      <c r="C7" s="2" t="inlineStr">
        <is>
          <t>Voice</t>
        </is>
      </c>
      <c r="D7" s="2" t="n">
        <v>1</v>
      </c>
      <c r="E7" s="3" t="inlineStr"/>
      <c r="F7" s="2" t="inlineStr"/>
    </row>
    <row r="8">
      <c r="A8" s="2" t="inlineStr">
        <is>
          <t>WS-001</t>
        </is>
      </c>
      <c r="B8" s="2" t="inlineStr">
        <is>
          <t>H</t>
        </is>
      </c>
      <c r="C8" s="2" t="inlineStr">
        <is>
          <t>Edit + captions</t>
        </is>
      </c>
      <c r="D8" s="2" t="n">
        <v>1.5</v>
      </c>
      <c r="E8" s="3" t="inlineStr"/>
      <c r="F8" s="2" t="inlineStr"/>
    </row>
    <row r="9">
      <c r="A9" s="2" t="inlineStr">
        <is>
          <t>WS-001</t>
        </is>
      </c>
      <c r="B9" s="2" t="inlineStr">
        <is>
          <t>H</t>
        </is>
      </c>
      <c r="C9" s="2" t="inlineStr">
        <is>
          <t>Sound + mix</t>
        </is>
      </c>
      <c r="D9" s="2" t="n">
        <v>1.5</v>
      </c>
      <c r="E9" s="3" t="inlineStr"/>
      <c r="F9" s="2" t="inlineStr"/>
    </row>
    <row r="10">
      <c r="A10" s="2" t="inlineStr">
        <is>
          <t>WS-001</t>
        </is>
      </c>
      <c r="B10" s="2" t="inlineStr">
        <is>
          <t>H</t>
        </is>
      </c>
      <c r="C10" s="2" t="inlineStr">
        <is>
          <t>QA + export + package</t>
        </is>
      </c>
      <c r="D10" s="2" t="n">
        <v>1</v>
      </c>
      <c r="E10" s="3" t="inlineStr"/>
      <c r="F10" s="2" t="inlineStr"/>
    </row>
    <row r="11">
      <c r="A11" s="2" t="inlineStr">
        <is>
          <t>WS-002</t>
        </is>
      </c>
      <c r="B11" s="2" t="inlineStr">
        <is>
          <t>M</t>
        </is>
      </c>
      <c r="C11" s="2" t="inlineStr">
        <is>
          <t>Topic + research + claims</t>
        </is>
      </c>
      <c r="D11" s="2" t="n">
        <v>1</v>
      </c>
      <c r="E11" s="3" t="inlineStr"/>
      <c r="F11" s="2" t="inlineStr"/>
    </row>
    <row r="12">
      <c r="A12" s="2" t="inlineStr">
        <is>
          <t>WS-002</t>
        </is>
      </c>
      <c r="B12" s="2" t="inlineStr">
        <is>
          <t>M</t>
        </is>
      </c>
      <c r="C12" s="2" t="inlineStr">
        <is>
          <t>Rules + hook + script + timed read</t>
        </is>
      </c>
      <c r="D12" s="2" t="n">
        <v>2</v>
      </c>
      <c r="E12" s="3" t="inlineStr"/>
      <c r="F12" s="2" t="inlineStr"/>
    </row>
    <row r="13">
      <c r="A13" s="2" t="inlineStr">
        <is>
          <t>WS-002</t>
        </is>
      </c>
      <c r="B13" s="2" t="inlineStr">
        <is>
          <t>M</t>
        </is>
      </c>
      <c r="C13" s="2" t="inlineStr">
        <is>
          <t>Storyboard / animatic</t>
        </is>
      </c>
      <c r="D13" s="2" t="n">
        <v>1</v>
      </c>
      <c r="E13" s="3" t="inlineStr"/>
      <c r="F13" s="2" t="inlineStr"/>
    </row>
    <row r="14">
      <c r="A14" s="2" t="inlineStr">
        <is>
          <t>WS-002</t>
        </is>
      </c>
      <c r="B14" s="2" t="inlineStr">
        <is>
          <t>M</t>
        </is>
      </c>
      <c r="C14" s="2" t="inlineStr">
        <is>
          <t>Assets</t>
        </is>
      </c>
      <c r="D14" s="2" t="n">
        <v>1.5</v>
      </c>
      <c r="E14" s="3" t="inlineStr"/>
      <c r="F14" s="2" t="inlineStr"/>
    </row>
    <row r="15">
      <c r="A15" s="2" t="inlineStr">
        <is>
          <t>WS-002</t>
        </is>
      </c>
      <c r="B15" s="2" t="inlineStr">
        <is>
          <t>M</t>
        </is>
      </c>
      <c r="C15" s="2" t="inlineStr">
        <is>
          <t>Animation</t>
        </is>
      </c>
      <c r="D15" s="2" t="n">
        <v>5</v>
      </c>
      <c r="E15" s="3" t="inlineStr"/>
      <c r="F15" s="2" t="inlineStr"/>
    </row>
    <row r="16">
      <c r="A16" s="2" t="inlineStr">
        <is>
          <t>WS-002</t>
        </is>
      </c>
      <c r="B16" s="2" t="inlineStr">
        <is>
          <t>M</t>
        </is>
      </c>
      <c r="C16" s="2" t="inlineStr">
        <is>
          <t>Voice</t>
        </is>
      </c>
      <c r="D16" s="2" t="n">
        <v>0.75</v>
      </c>
      <c r="E16" s="3" t="inlineStr"/>
      <c r="F16" s="2" t="inlineStr"/>
    </row>
    <row r="17">
      <c r="A17" s="2" t="inlineStr">
        <is>
          <t>WS-002</t>
        </is>
      </c>
      <c r="B17" s="2" t="inlineStr">
        <is>
          <t>M</t>
        </is>
      </c>
      <c r="C17" s="2" t="inlineStr">
        <is>
          <t>Edit + captions</t>
        </is>
      </c>
      <c r="D17" s="2" t="n">
        <v>1.25</v>
      </c>
      <c r="E17" s="3" t="inlineStr"/>
      <c r="F17" s="2" t="inlineStr"/>
    </row>
    <row r="18">
      <c r="A18" s="2" t="inlineStr">
        <is>
          <t>WS-002</t>
        </is>
      </c>
      <c r="B18" s="2" t="inlineStr">
        <is>
          <t>M</t>
        </is>
      </c>
      <c r="C18" s="2" t="inlineStr">
        <is>
          <t>Sound + mix</t>
        </is>
      </c>
      <c r="D18" s="2" t="n">
        <v>1</v>
      </c>
      <c r="E18" s="3" t="inlineStr"/>
      <c r="F18" s="2" t="inlineStr"/>
    </row>
    <row r="19">
      <c r="A19" s="2" t="inlineStr">
        <is>
          <t>WS-002</t>
        </is>
      </c>
      <c r="B19" s="2" t="inlineStr">
        <is>
          <t>M</t>
        </is>
      </c>
      <c r="C19" s="2" t="inlineStr">
        <is>
          <t>QA + export + package</t>
        </is>
      </c>
      <c r="D19" s="2" t="n">
        <v>0.75</v>
      </c>
      <c r="E19" s="3" t="inlineStr"/>
      <c r="F19" s="2" t="inlineStr"/>
    </row>
    <row r="20">
      <c r="A20" s="2" t="inlineStr">
        <is>
          <t>WS-003</t>
        </is>
      </c>
      <c r="B20" s="2" t="inlineStr">
        <is>
          <t>H</t>
        </is>
      </c>
      <c r="C20" s="2" t="inlineStr">
        <is>
          <t>Topic + research + claims</t>
        </is>
      </c>
      <c r="D20" s="2" t="n">
        <v>1.5</v>
      </c>
      <c r="E20" s="3" t="inlineStr"/>
      <c r="F20" s="2" t="inlineStr"/>
    </row>
    <row r="21">
      <c r="A21" s="2" t="inlineStr">
        <is>
          <t>WS-003</t>
        </is>
      </c>
      <c r="B21" s="2" t="inlineStr">
        <is>
          <t>H</t>
        </is>
      </c>
      <c r="C21" s="2" t="inlineStr">
        <is>
          <t>Rules + hook + script + timed read</t>
        </is>
      </c>
      <c r="D21" s="2" t="n">
        <v>2.5</v>
      </c>
      <c r="E21" s="3" t="inlineStr"/>
      <c r="F21" s="2" t="inlineStr"/>
    </row>
    <row r="22">
      <c r="A22" s="2" t="inlineStr">
        <is>
          <t>WS-003</t>
        </is>
      </c>
      <c r="B22" s="2" t="inlineStr">
        <is>
          <t>H</t>
        </is>
      </c>
      <c r="C22" s="2" t="inlineStr">
        <is>
          <t>Storyboard / animatic</t>
        </is>
      </c>
      <c r="D22" s="2" t="n">
        <v>1.5</v>
      </c>
      <c r="E22" s="3" t="inlineStr"/>
      <c r="F22" s="2" t="inlineStr"/>
    </row>
    <row r="23">
      <c r="A23" s="2" t="inlineStr">
        <is>
          <t>WS-003</t>
        </is>
      </c>
      <c r="B23" s="2" t="inlineStr">
        <is>
          <t>H</t>
        </is>
      </c>
      <c r="C23" s="2" t="inlineStr">
        <is>
          <t>Assets</t>
        </is>
      </c>
      <c r="D23" s="2" t="n">
        <v>4</v>
      </c>
      <c r="E23" s="3" t="inlineStr"/>
      <c r="F23" s="2" t="inlineStr"/>
    </row>
    <row r="24">
      <c r="A24" s="2" t="inlineStr">
        <is>
          <t>WS-003</t>
        </is>
      </c>
      <c r="B24" s="2" t="inlineStr">
        <is>
          <t>H</t>
        </is>
      </c>
      <c r="C24" s="2" t="inlineStr">
        <is>
          <t>Animation</t>
        </is>
      </c>
      <c r="D24" s="2" t="n">
        <v>8</v>
      </c>
      <c r="E24" s="3" t="inlineStr"/>
      <c r="F24" s="2" t="inlineStr"/>
    </row>
    <row r="25">
      <c r="A25" s="2" t="inlineStr">
        <is>
          <t>WS-003</t>
        </is>
      </c>
      <c r="B25" s="2" t="inlineStr">
        <is>
          <t>H</t>
        </is>
      </c>
      <c r="C25" s="2" t="inlineStr">
        <is>
          <t>Voice</t>
        </is>
      </c>
      <c r="D25" s="2" t="n">
        <v>1</v>
      </c>
      <c r="E25" s="3" t="inlineStr"/>
      <c r="F25" s="2" t="inlineStr"/>
    </row>
    <row r="26">
      <c r="A26" s="2" t="inlineStr">
        <is>
          <t>WS-003</t>
        </is>
      </c>
      <c r="B26" s="2" t="inlineStr">
        <is>
          <t>H</t>
        </is>
      </c>
      <c r="C26" s="2" t="inlineStr">
        <is>
          <t>Edit + captions</t>
        </is>
      </c>
      <c r="D26" s="2" t="n">
        <v>1.5</v>
      </c>
      <c r="E26" s="3" t="inlineStr"/>
      <c r="F26" s="2" t="inlineStr"/>
    </row>
    <row r="27">
      <c r="A27" s="2" t="inlineStr">
        <is>
          <t>WS-003</t>
        </is>
      </c>
      <c r="B27" s="2" t="inlineStr">
        <is>
          <t>H</t>
        </is>
      </c>
      <c r="C27" s="2" t="inlineStr">
        <is>
          <t>Sound + mix</t>
        </is>
      </c>
      <c r="D27" s="2" t="n">
        <v>1.5</v>
      </c>
      <c r="E27" s="3" t="inlineStr"/>
      <c r="F27" s="2" t="inlineStr"/>
    </row>
    <row r="28">
      <c r="A28" s="2" t="inlineStr">
        <is>
          <t>WS-003</t>
        </is>
      </c>
      <c r="B28" s="2" t="inlineStr">
        <is>
          <t>H</t>
        </is>
      </c>
      <c r="C28" s="2" t="inlineStr">
        <is>
          <t>QA + export + package</t>
        </is>
      </c>
      <c r="D28" s="2" t="n">
        <v>1</v>
      </c>
      <c r="E28" s="3" t="inlineStr"/>
      <c r="F28" s="2" t="inlineStr"/>
    </row>
    <row r="30">
      <c r="C30" t="inlineStr">
        <is>
          <t>Total estimate / actual</t>
        </is>
      </c>
      <c r="D30">
        <f>SUM(D2:D28)</f>
        <v/>
      </c>
      <c r="E30">
        <f>SUM(E2:E28)</f>
        <v/>
      </c>
    </row>
    <row r="31">
      <c r="C31" t="inlineStr">
        <is>
          <t>Actual ÷ estimate (if &gt;1.15, see 20 §5)</t>
        </is>
      </c>
      <c r="E31">
        <f>IFERROR(E30/D30,"")</f>
        <v/>
      </c>
    </row>
  </sheetData>
  <autoFilter ref="A1:F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 customWidth="1" min="6" max="6"/>
    <col width="10" customWidth="1" min="7" max="7"/>
    <col width="10" customWidth="1" min="8" max="8"/>
    <col width="10" customWidth="1" min="9" max="9"/>
    <col width="10" customWidth="1" min="10" max="10"/>
    <col width="12" customWidth="1" min="11" max="11"/>
    <col width="10" customWidth="1" min="12" max="12"/>
    <col width="16" customWidth="1" min="13" max="13"/>
    <col width="10" customWidth="1" min="14" max="14"/>
    <col width="15" customWidth="1" min="15" max="15"/>
    <col width="16" customWidth="1" min="16" max="16"/>
    <col width="19" customWidth="1" min="17" max="17"/>
    <col width="23" customWidth="1" min="18" max="18"/>
    <col width="21" customWidth="1" min="19" max="19"/>
    <col width="26" customWidth="1" min="20" max="20"/>
    <col width="25" customWidth="1" min="21" max="21"/>
    <col width="40" customWidth="1" min="22" max="22"/>
  </cols>
  <sheetData>
    <row r="1">
      <c r="A1" s="1" t="inlineStr">
        <is>
          <t>ID</t>
        </is>
      </c>
      <c r="B1" s="1" t="inlineStr">
        <is>
          <t>Publish date</t>
        </is>
      </c>
      <c r="C1" s="1" t="inlineStr">
        <is>
          <t>Checkpoint</t>
        </is>
      </c>
      <c r="D1" s="1" t="inlineStr">
        <is>
          <t>Public views</t>
        </is>
      </c>
      <c r="E1" s="1" t="inlineStr">
        <is>
          <t>Engaged views</t>
        </is>
      </c>
      <c r="F1" s="1" t="inlineStr">
        <is>
          <t>Stayed to watch %</t>
        </is>
      </c>
      <c r="G1" s="1" t="inlineStr">
        <is>
          <t>AVD (s)</t>
        </is>
      </c>
      <c r="H1" s="1" t="inlineStr">
        <is>
          <t>APV %</t>
        </is>
      </c>
      <c r="I1" s="1" t="inlineStr">
        <is>
          <t>Ret. 3 s %</t>
        </is>
      </c>
      <c r="J1" s="1" t="inlineStr">
        <is>
          <t>Ret. 50% %</t>
        </is>
      </c>
      <c r="K1" s="1" t="inlineStr">
        <is>
          <t>Ret. at Fork %</t>
        </is>
      </c>
      <c r="L1" s="1" t="inlineStr">
        <is>
          <t>Shares</t>
        </is>
      </c>
      <c r="M1" s="1" t="inlineStr">
        <is>
          <t>Subscribers gained</t>
        </is>
      </c>
      <c r="N1" s="1" t="inlineStr">
        <is>
          <t>Comments</t>
        </is>
      </c>
      <c r="O1" s="1" t="inlineStr">
        <is>
          <t>Valid corrections</t>
        </is>
      </c>
      <c r="P1" s="1" t="inlineStr">
        <is>
          <t>Confusion comments</t>
        </is>
      </c>
      <c r="Q1" s="1" t="inlineStr">
        <is>
          <t>Share rate /1k engaged</t>
        </is>
      </c>
      <c r="R1" s="1" t="inlineStr">
        <is>
          <t>Subscribe rate /1k engaged</t>
        </is>
      </c>
      <c r="S1" s="1" t="inlineStr">
        <is>
          <t>Comment rate /1k engaged</t>
        </is>
      </c>
      <c r="T1" s="1" t="inlineStr">
        <is>
          <t>Correction rate /100 comments</t>
        </is>
      </c>
      <c r="U1" s="1" t="inlineStr">
        <is>
          <t>Confusion rate /100 comments</t>
        </is>
      </c>
      <c r="V1" s="1" t="inlineStr">
        <is>
          <t>Notes</t>
        </is>
      </c>
    </row>
    <row r="2">
      <c r="A2" t="inlineStr">
        <is>
          <t>WS-001</t>
        </is>
      </c>
      <c r="B2" t="inlineStr">
        <is>
          <t>2026-10-31</t>
        </is>
      </c>
      <c r="C2" t="inlineStr">
        <is>
          <t>24 h</t>
        </is>
      </c>
      <c r="D2" s="4" t="inlineStr"/>
      <c r="E2" s="4" t="inlineStr"/>
      <c r="F2" s="4" t="inlineStr"/>
      <c r="G2" s="4" t="inlineStr"/>
      <c r="H2" s="4" t="inlineStr"/>
      <c r="I2" s="4" t="inlineStr"/>
      <c r="J2" s="4" t="inlineStr"/>
      <c r="K2" s="4" t="inlineStr"/>
      <c r="L2" s="4" t="inlineStr"/>
      <c r="M2" s="4" t="inlineStr"/>
      <c r="N2" s="4" t="inlineStr"/>
      <c r="O2" s="4" t="inlineStr"/>
      <c r="P2" s="4" t="inlineStr"/>
      <c r="Q2">
        <f>IFERROR(L2/E2*1000,"")</f>
        <v/>
      </c>
      <c r="R2">
        <f>IFERROR(M2/E2*1000,"")</f>
        <v/>
      </c>
      <c r="S2">
        <f>IFERROR(N2/E2*1000,"")</f>
        <v/>
      </c>
      <c r="T2">
        <f>IFERROR(O2/N2*100,"")</f>
        <v/>
      </c>
      <c r="U2">
        <f>IFERROR(P2/N2*100,"")</f>
        <v/>
      </c>
      <c r="V2" t="inlineStr"/>
    </row>
    <row r="3">
      <c r="A3" t="inlineStr">
        <is>
          <t>WS-001</t>
        </is>
      </c>
      <c r="B3" t="inlineStr">
        <is>
          <t>2026-10-31</t>
        </is>
      </c>
      <c r="C3" t="inlineStr">
        <is>
          <t>72 h</t>
        </is>
      </c>
      <c r="D3" s="4" t="inlineStr"/>
      <c r="E3" s="4" t="inlineStr"/>
      <c r="F3" s="4" t="inlineStr"/>
      <c r="G3" s="4" t="inlineStr"/>
      <c r="H3" s="4" t="inlineStr"/>
      <c r="I3" s="4" t="inlineStr"/>
      <c r="J3" s="4" t="inlineStr"/>
      <c r="K3" s="4" t="inlineStr"/>
      <c r="L3" s="4" t="inlineStr"/>
      <c r="M3" s="4" t="inlineStr"/>
      <c r="N3" s="4" t="inlineStr"/>
      <c r="O3" s="4" t="inlineStr"/>
      <c r="P3" s="4" t="inlineStr"/>
      <c r="Q3">
        <f>IFERROR(L3/E3*1000,"")</f>
        <v/>
      </c>
      <c r="R3">
        <f>IFERROR(M3/E3*1000,"")</f>
        <v/>
      </c>
      <c r="S3">
        <f>IFERROR(N3/E3*1000,"")</f>
        <v/>
      </c>
      <c r="T3">
        <f>IFERROR(O3/N3*100,"")</f>
        <v/>
      </c>
      <c r="U3">
        <f>IFERROR(P3/N3*100,"")</f>
        <v/>
      </c>
      <c r="V3" t="inlineStr"/>
    </row>
    <row r="4">
      <c r="A4" t="inlineStr">
        <is>
          <t>WS-001</t>
        </is>
      </c>
      <c r="B4" t="inlineStr">
        <is>
          <t>2026-10-31</t>
        </is>
      </c>
      <c r="C4" t="inlineStr">
        <is>
          <t>7 d</t>
        </is>
      </c>
      <c r="D4" s="4" t="inlineStr"/>
      <c r="E4" s="4" t="inlineStr"/>
      <c r="F4" s="4" t="inlineStr"/>
      <c r="G4" s="4" t="inlineStr"/>
      <c r="H4" s="4" t="inlineStr"/>
      <c r="I4" s="4" t="inlineStr"/>
      <c r="J4" s="4" t="inlineStr"/>
      <c r="K4" s="4" t="inlineStr"/>
      <c r="L4" s="4" t="inlineStr"/>
      <c r="M4" s="4" t="inlineStr"/>
      <c r="N4" s="4" t="inlineStr"/>
      <c r="O4" s="4" t="inlineStr"/>
      <c r="P4" s="4" t="inlineStr"/>
      <c r="Q4">
        <f>IFERROR(L4/E4*1000,"")</f>
        <v/>
      </c>
      <c r="R4">
        <f>IFERROR(M4/E4*1000,"")</f>
        <v/>
      </c>
      <c r="S4">
        <f>IFERROR(N4/E4*1000,"")</f>
        <v/>
      </c>
      <c r="T4">
        <f>IFERROR(O4/N4*100,"")</f>
        <v/>
      </c>
      <c r="U4">
        <f>IFERROR(P4/N4*100,"")</f>
        <v/>
      </c>
      <c r="V4" t="inlineStr"/>
    </row>
    <row r="5">
      <c r="A5" t="inlineStr">
        <is>
          <t>WS-002</t>
        </is>
      </c>
      <c r="B5" t="inlineStr">
        <is>
          <t>2026-11-01</t>
        </is>
      </c>
      <c r="C5" t="inlineStr">
        <is>
          <t>24 h</t>
        </is>
      </c>
      <c r="D5" s="4" t="inlineStr"/>
      <c r="E5" s="4" t="inlineStr"/>
      <c r="F5" s="4" t="inlineStr"/>
      <c r="G5" s="4" t="inlineStr"/>
      <c r="H5" s="4" t="inlineStr"/>
      <c r="I5" s="4" t="inlineStr"/>
      <c r="J5" s="4" t="inlineStr"/>
      <c r="K5" s="4" t="inlineStr"/>
      <c r="L5" s="4" t="inlineStr"/>
      <c r="M5" s="4" t="inlineStr"/>
      <c r="N5" s="4" t="inlineStr"/>
      <c r="O5" s="4" t="inlineStr"/>
      <c r="P5" s="4" t="inlineStr"/>
      <c r="Q5">
        <f>IFERROR(L5/E5*1000,"")</f>
        <v/>
      </c>
      <c r="R5">
        <f>IFERROR(M5/E5*1000,"")</f>
        <v/>
      </c>
      <c r="S5">
        <f>IFERROR(N5/E5*1000,"")</f>
        <v/>
      </c>
      <c r="T5">
        <f>IFERROR(O5/N5*100,"")</f>
        <v/>
      </c>
      <c r="U5">
        <f>IFERROR(P5/N5*100,"")</f>
        <v/>
      </c>
      <c r="V5" t="inlineStr"/>
    </row>
    <row r="6">
      <c r="A6" t="inlineStr">
        <is>
          <t>WS-002</t>
        </is>
      </c>
      <c r="B6" t="inlineStr">
        <is>
          <t>2026-11-01</t>
        </is>
      </c>
      <c r="C6" t="inlineStr">
        <is>
          <t>72 h</t>
        </is>
      </c>
      <c r="D6" s="4" t="inlineStr"/>
      <c r="E6" s="4" t="inlineStr"/>
      <c r="F6" s="4" t="inlineStr"/>
      <c r="G6" s="4" t="inlineStr"/>
      <c r="H6" s="4" t="inlineStr"/>
      <c r="I6" s="4" t="inlineStr"/>
      <c r="J6" s="4" t="inlineStr"/>
      <c r="K6" s="4" t="inlineStr"/>
      <c r="L6" s="4" t="inlineStr"/>
      <c r="M6" s="4" t="inlineStr"/>
      <c r="N6" s="4" t="inlineStr"/>
      <c r="O6" s="4" t="inlineStr"/>
      <c r="P6" s="4" t="inlineStr"/>
      <c r="Q6">
        <f>IFERROR(L6/E6*1000,"")</f>
        <v/>
      </c>
      <c r="R6">
        <f>IFERROR(M6/E6*1000,"")</f>
        <v/>
      </c>
      <c r="S6">
        <f>IFERROR(N6/E6*1000,"")</f>
        <v/>
      </c>
      <c r="T6">
        <f>IFERROR(O6/N6*100,"")</f>
        <v/>
      </c>
      <c r="U6">
        <f>IFERROR(P6/N6*100,"")</f>
        <v/>
      </c>
      <c r="V6" t="inlineStr"/>
    </row>
    <row r="7">
      <c r="A7" t="inlineStr">
        <is>
          <t>WS-002</t>
        </is>
      </c>
      <c r="B7" t="inlineStr">
        <is>
          <t>2026-11-01</t>
        </is>
      </c>
      <c r="C7" t="inlineStr">
        <is>
          <t>7 d</t>
        </is>
      </c>
      <c r="D7" s="4" t="inlineStr"/>
      <c r="E7" s="4" t="inlineStr"/>
      <c r="F7" s="4" t="inlineStr"/>
      <c r="G7" s="4" t="inlineStr"/>
      <c r="H7" s="4" t="inlineStr"/>
      <c r="I7" s="4" t="inlineStr"/>
      <c r="J7" s="4" t="inlineStr"/>
      <c r="K7" s="4" t="inlineStr"/>
      <c r="L7" s="4" t="inlineStr"/>
      <c r="M7" s="4" t="inlineStr"/>
      <c r="N7" s="4" t="inlineStr"/>
      <c r="O7" s="4" t="inlineStr"/>
      <c r="P7" s="4" t="inlineStr"/>
      <c r="Q7">
        <f>IFERROR(L7/E7*1000,"")</f>
        <v/>
      </c>
      <c r="R7">
        <f>IFERROR(M7/E7*1000,"")</f>
        <v/>
      </c>
      <c r="S7">
        <f>IFERROR(N7/E7*1000,"")</f>
        <v/>
      </c>
      <c r="T7">
        <f>IFERROR(O7/N7*100,"")</f>
        <v/>
      </c>
      <c r="U7">
        <f>IFERROR(P7/N7*100,"")</f>
        <v/>
      </c>
      <c r="V7" t="inlineStr"/>
    </row>
    <row r="8">
      <c r="A8" t="inlineStr">
        <is>
          <t>WS-003</t>
        </is>
      </c>
      <c r="B8" t="inlineStr">
        <is>
          <t>2026-11-02</t>
        </is>
      </c>
      <c r="C8" t="inlineStr">
        <is>
          <t>24 h</t>
        </is>
      </c>
      <c r="D8" s="4" t="inlineStr"/>
      <c r="E8" s="4" t="inlineStr"/>
      <c r="F8" s="4" t="inlineStr"/>
      <c r="G8" s="4" t="inlineStr"/>
      <c r="H8" s="4" t="inlineStr"/>
      <c r="I8" s="4" t="inlineStr"/>
      <c r="J8" s="4" t="inlineStr"/>
      <c r="K8" s="4" t="inlineStr"/>
      <c r="L8" s="4" t="inlineStr"/>
      <c r="M8" s="4" t="inlineStr"/>
      <c r="N8" s="4" t="inlineStr"/>
      <c r="O8" s="4" t="inlineStr"/>
      <c r="P8" s="4" t="inlineStr"/>
      <c r="Q8">
        <f>IFERROR(L8/E8*1000,"")</f>
        <v/>
      </c>
      <c r="R8">
        <f>IFERROR(M8/E8*1000,"")</f>
        <v/>
      </c>
      <c r="S8">
        <f>IFERROR(N8/E8*1000,"")</f>
        <v/>
      </c>
      <c r="T8">
        <f>IFERROR(O8/N8*100,"")</f>
        <v/>
      </c>
      <c r="U8">
        <f>IFERROR(P8/N8*100,"")</f>
        <v/>
      </c>
      <c r="V8" t="inlineStr"/>
    </row>
    <row r="9">
      <c r="A9" t="inlineStr">
        <is>
          <t>WS-003</t>
        </is>
      </c>
      <c r="B9" t="inlineStr">
        <is>
          <t>2026-11-02</t>
        </is>
      </c>
      <c r="C9" t="inlineStr">
        <is>
          <t>72 h</t>
        </is>
      </c>
      <c r="D9" s="4" t="inlineStr"/>
      <c r="E9" s="4" t="inlineStr"/>
      <c r="F9" s="4" t="inlineStr"/>
      <c r="G9" s="4" t="inlineStr"/>
      <c r="H9" s="4" t="inlineStr"/>
      <c r="I9" s="4" t="inlineStr"/>
      <c r="J9" s="4" t="inlineStr"/>
      <c r="K9" s="4" t="inlineStr"/>
      <c r="L9" s="4" t="inlineStr"/>
      <c r="M9" s="4" t="inlineStr"/>
      <c r="N9" s="4" t="inlineStr"/>
      <c r="O9" s="4" t="inlineStr"/>
      <c r="P9" s="4" t="inlineStr"/>
      <c r="Q9">
        <f>IFERROR(L9/E9*1000,"")</f>
        <v/>
      </c>
      <c r="R9">
        <f>IFERROR(M9/E9*1000,"")</f>
        <v/>
      </c>
      <c r="S9">
        <f>IFERROR(N9/E9*1000,"")</f>
        <v/>
      </c>
      <c r="T9">
        <f>IFERROR(O9/N9*100,"")</f>
        <v/>
      </c>
      <c r="U9">
        <f>IFERROR(P9/N9*100,"")</f>
        <v/>
      </c>
      <c r="V9" t="inlineStr"/>
    </row>
    <row r="10">
      <c r="A10" t="inlineStr">
        <is>
          <t>WS-003</t>
        </is>
      </c>
      <c r="B10" t="inlineStr">
        <is>
          <t>2026-11-02</t>
        </is>
      </c>
      <c r="C10" t="inlineStr">
        <is>
          <t>7 d</t>
        </is>
      </c>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f>IFERROR(L10/E10*1000,"")</f>
        <v/>
      </c>
      <c r="R10">
        <f>IFERROR(M10/E10*1000,"")</f>
        <v/>
      </c>
      <c r="S10">
        <f>IFERROR(N10/E10*1000,"")</f>
        <v/>
      </c>
      <c r="T10">
        <f>IFERROR(O10/N10*100,"")</f>
        <v/>
      </c>
      <c r="U10">
        <f>IFERROR(P10/N10*100,"")</f>
        <v/>
      </c>
      <c r="V10" t="inlineStr"/>
    </row>
    <row r="11">
      <c r="A11" t="inlineStr">
        <is>
          <t>WS-004</t>
        </is>
      </c>
      <c r="B11" t="inlineStr">
        <is>
          <t>2026-11-03</t>
        </is>
      </c>
      <c r="C11" t="inlineStr">
        <is>
          <t>24 h</t>
        </is>
      </c>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f>IFERROR(L11/E11*1000,"")</f>
        <v/>
      </c>
      <c r="R11">
        <f>IFERROR(M11/E11*1000,"")</f>
        <v/>
      </c>
      <c r="S11">
        <f>IFERROR(N11/E11*1000,"")</f>
        <v/>
      </c>
      <c r="T11">
        <f>IFERROR(O11/N11*100,"")</f>
        <v/>
      </c>
      <c r="U11">
        <f>IFERROR(P11/N11*100,"")</f>
        <v/>
      </c>
      <c r="V11" t="inlineStr"/>
    </row>
    <row r="12">
      <c r="A12" t="inlineStr">
        <is>
          <t>WS-004</t>
        </is>
      </c>
      <c r="B12" t="inlineStr">
        <is>
          <t>2026-11-03</t>
        </is>
      </c>
      <c r="C12" t="inlineStr">
        <is>
          <t>72 h</t>
        </is>
      </c>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f>IFERROR(L12/E12*1000,"")</f>
        <v/>
      </c>
      <c r="R12">
        <f>IFERROR(M12/E12*1000,"")</f>
        <v/>
      </c>
      <c r="S12">
        <f>IFERROR(N12/E12*1000,"")</f>
        <v/>
      </c>
      <c r="T12">
        <f>IFERROR(O12/N12*100,"")</f>
        <v/>
      </c>
      <c r="U12">
        <f>IFERROR(P12/N12*100,"")</f>
        <v/>
      </c>
      <c r="V12" t="inlineStr"/>
    </row>
    <row r="13">
      <c r="A13" t="inlineStr">
        <is>
          <t>WS-004</t>
        </is>
      </c>
      <c r="B13" t="inlineStr">
        <is>
          <t>2026-11-03</t>
        </is>
      </c>
      <c r="C13" t="inlineStr">
        <is>
          <t>7 d</t>
        </is>
      </c>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f>IFERROR(L13/E13*1000,"")</f>
        <v/>
      </c>
      <c r="R13">
        <f>IFERROR(M13/E13*1000,"")</f>
        <v/>
      </c>
      <c r="S13">
        <f>IFERROR(N13/E13*1000,"")</f>
        <v/>
      </c>
      <c r="T13">
        <f>IFERROR(O13/N13*100,"")</f>
        <v/>
      </c>
      <c r="U13">
        <f>IFERROR(P13/N13*100,"")</f>
        <v/>
      </c>
      <c r="V13" t="inlineStr"/>
    </row>
    <row r="14">
      <c r="A14" t="inlineStr">
        <is>
          <t>WS-005</t>
        </is>
      </c>
      <c r="B14" t="inlineStr">
        <is>
          <t>2026-11-04</t>
        </is>
      </c>
      <c r="C14" t="inlineStr">
        <is>
          <t>24 h</t>
        </is>
      </c>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f>IFERROR(L14/E14*1000,"")</f>
        <v/>
      </c>
      <c r="R14">
        <f>IFERROR(M14/E14*1000,"")</f>
        <v/>
      </c>
      <c r="S14">
        <f>IFERROR(N14/E14*1000,"")</f>
        <v/>
      </c>
      <c r="T14">
        <f>IFERROR(O14/N14*100,"")</f>
        <v/>
      </c>
      <c r="U14">
        <f>IFERROR(P14/N14*100,"")</f>
        <v/>
      </c>
      <c r="V14" t="inlineStr"/>
    </row>
    <row r="15">
      <c r="A15" t="inlineStr">
        <is>
          <t>WS-005</t>
        </is>
      </c>
      <c r="B15" t="inlineStr">
        <is>
          <t>2026-11-04</t>
        </is>
      </c>
      <c r="C15" t="inlineStr">
        <is>
          <t>72 h</t>
        </is>
      </c>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f>IFERROR(L15/E15*1000,"")</f>
        <v/>
      </c>
      <c r="R15">
        <f>IFERROR(M15/E15*1000,"")</f>
        <v/>
      </c>
      <c r="S15">
        <f>IFERROR(N15/E15*1000,"")</f>
        <v/>
      </c>
      <c r="T15">
        <f>IFERROR(O15/N15*100,"")</f>
        <v/>
      </c>
      <c r="U15">
        <f>IFERROR(P15/N15*100,"")</f>
        <v/>
      </c>
      <c r="V15" t="inlineStr"/>
    </row>
    <row r="16">
      <c r="A16" t="inlineStr">
        <is>
          <t>WS-005</t>
        </is>
      </c>
      <c r="B16" t="inlineStr">
        <is>
          <t>2026-11-04</t>
        </is>
      </c>
      <c r="C16" t="inlineStr">
        <is>
          <t>7 d</t>
        </is>
      </c>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f>IFERROR(L16/E16*1000,"")</f>
        <v/>
      </c>
      <c r="R16">
        <f>IFERROR(M16/E16*1000,"")</f>
        <v/>
      </c>
      <c r="S16">
        <f>IFERROR(N16/E16*1000,"")</f>
        <v/>
      </c>
      <c r="T16">
        <f>IFERROR(O16/N16*100,"")</f>
        <v/>
      </c>
      <c r="U16">
        <f>IFERROR(P16/N16*100,"")</f>
        <v/>
      </c>
      <c r="V16" t="inlineStr"/>
    </row>
    <row r="17">
      <c r="A17" t="inlineStr">
        <is>
          <t>WS-006</t>
        </is>
      </c>
      <c r="B17" t="inlineStr">
        <is>
          <t>2026-11-05</t>
        </is>
      </c>
      <c r="C17" t="inlineStr">
        <is>
          <t>24 h</t>
        </is>
      </c>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f>IFERROR(L17/E17*1000,"")</f>
        <v/>
      </c>
      <c r="R17">
        <f>IFERROR(M17/E17*1000,"")</f>
        <v/>
      </c>
      <c r="S17">
        <f>IFERROR(N17/E17*1000,"")</f>
        <v/>
      </c>
      <c r="T17">
        <f>IFERROR(O17/N17*100,"")</f>
        <v/>
      </c>
      <c r="U17">
        <f>IFERROR(P17/N17*100,"")</f>
        <v/>
      </c>
      <c r="V17" t="inlineStr"/>
    </row>
    <row r="18">
      <c r="A18" t="inlineStr">
        <is>
          <t>WS-006</t>
        </is>
      </c>
      <c r="B18" t="inlineStr">
        <is>
          <t>2026-11-05</t>
        </is>
      </c>
      <c r="C18" t="inlineStr">
        <is>
          <t>72 h</t>
        </is>
      </c>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f>IFERROR(L18/E18*1000,"")</f>
        <v/>
      </c>
      <c r="R18">
        <f>IFERROR(M18/E18*1000,"")</f>
        <v/>
      </c>
      <c r="S18">
        <f>IFERROR(N18/E18*1000,"")</f>
        <v/>
      </c>
      <c r="T18">
        <f>IFERROR(O18/N18*100,"")</f>
        <v/>
      </c>
      <c r="U18">
        <f>IFERROR(P18/N18*100,"")</f>
        <v/>
      </c>
      <c r="V18" t="inlineStr"/>
    </row>
    <row r="19">
      <c r="A19" t="inlineStr">
        <is>
          <t>WS-006</t>
        </is>
      </c>
      <c r="B19" t="inlineStr">
        <is>
          <t>2026-11-05</t>
        </is>
      </c>
      <c r="C19" t="inlineStr">
        <is>
          <t>7 d</t>
        </is>
      </c>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f>IFERROR(L19/E19*1000,"")</f>
        <v/>
      </c>
      <c r="R19">
        <f>IFERROR(M19/E19*1000,"")</f>
        <v/>
      </c>
      <c r="S19">
        <f>IFERROR(N19/E19*1000,"")</f>
        <v/>
      </c>
      <c r="T19">
        <f>IFERROR(O19/N19*100,"")</f>
        <v/>
      </c>
      <c r="U19">
        <f>IFERROR(P19/N19*100,"")</f>
        <v/>
      </c>
      <c r="V19" t="inlineStr"/>
    </row>
    <row r="20">
      <c r="A20" t="inlineStr">
        <is>
          <t>WS-007</t>
        </is>
      </c>
      <c r="B20" t="inlineStr">
        <is>
          <t>2026-11-06</t>
        </is>
      </c>
      <c r="C20" t="inlineStr">
        <is>
          <t>24 h</t>
        </is>
      </c>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f>IFERROR(L20/E20*1000,"")</f>
        <v/>
      </c>
      <c r="R20">
        <f>IFERROR(M20/E20*1000,"")</f>
        <v/>
      </c>
      <c r="S20">
        <f>IFERROR(N20/E20*1000,"")</f>
        <v/>
      </c>
      <c r="T20">
        <f>IFERROR(O20/N20*100,"")</f>
        <v/>
      </c>
      <c r="U20">
        <f>IFERROR(P20/N20*100,"")</f>
        <v/>
      </c>
      <c r="V20" t="inlineStr"/>
    </row>
    <row r="21">
      <c r="A21" t="inlineStr">
        <is>
          <t>WS-007</t>
        </is>
      </c>
      <c r="B21" t="inlineStr">
        <is>
          <t>2026-11-06</t>
        </is>
      </c>
      <c r="C21" t="inlineStr">
        <is>
          <t>72 h</t>
        </is>
      </c>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f>IFERROR(L21/E21*1000,"")</f>
        <v/>
      </c>
      <c r="R21">
        <f>IFERROR(M21/E21*1000,"")</f>
        <v/>
      </c>
      <c r="S21">
        <f>IFERROR(N21/E21*1000,"")</f>
        <v/>
      </c>
      <c r="T21">
        <f>IFERROR(O21/N21*100,"")</f>
        <v/>
      </c>
      <c r="U21">
        <f>IFERROR(P21/N21*100,"")</f>
        <v/>
      </c>
      <c r="V21" t="inlineStr"/>
    </row>
    <row r="22">
      <c r="A22" t="inlineStr">
        <is>
          <t>WS-007</t>
        </is>
      </c>
      <c r="B22" t="inlineStr">
        <is>
          <t>2026-11-06</t>
        </is>
      </c>
      <c r="C22" t="inlineStr">
        <is>
          <t>7 d</t>
        </is>
      </c>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f>IFERROR(L22/E22*1000,"")</f>
        <v/>
      </c>
      <c r="R22">
        <f>IFERROR(M22/E22*1000,"")</f>
        <v/>
      </c>
      <c r="S22">
        <f>IFERROR(N22/E22*1000,"")</f>
        <v/>
      </c>
      <c r="T22">
        <f>IFERROR(O22/N22*100,"")</f>
        <v/>
      </c>
      <c r="U22">
        <f>IFERROR(P22/N22*100,"")</f>
        <v/>
      </c>
      <c r="V22" t="inlineStr"/>
    </row>
    <row r="23">
      <c r="A23" t="inlineStr">
        <is>
          <t>WS-008</t>
        </is>
      </c>
      <c r="B23" t="inlineStr">
        <is>
          <t>2026-11-07</t>
        </is>
      </c>
      <c r="C23" t="inlineStr">
        <is>
          <t>24 h</t>
        </is>
      </c>
      <c r="D23" s="4" t="inlineStr"/>
      <c r="E23" s="4" t="inlineStr"/>
      <c r="F23" s="4" t="inlineStr"/>
      <c r="G23" s="4" t="inlineStr"/>
      <c r="H23" s="4" t="inlineStr"/>
      <c r="I23" s="4" t="inlineStr"/>
      <c r="J23" s="4" t="inlineStr"/>
      <c r="K23" s="4" t="inlineStr"/>
      <c r="L23" s="4" t="inlineStr"/>
      <c r="M23" s="4" t="inlineStr"/>
      <c r="N23" s="4" t="inlineStr"/>
      <c r="O23" s="4" t="inlineStr"/>
      <c r="P23" s="4" t="inlineStr"/>
      <c r="Q23">
        <f>IFERROR(L23/E23*1000,"")</f>
        <v/>
      </c>
      <c r="R23">
        <f>IFERROR(M23/E23*1000,"")</f>
        <v/>
      </c>
      <c r="S23">
        <f>IFERROR(N23/E23*1000,"")</f>
        <v/>
      </c>
      <c r="T23">
        <f>IFERROR(O23/N23*100,"")</f>
        <v/>
      </c>
      <c r="U23">
        <f>IFERROR(P23/N23*100,"")</f>
        <v/>
      </c>
      <c r="V23" t="inlineStr"/>
    </row>
    <row r="24">
      <c r="A24" t="inlineStr">
        <is>
          <t>WS-008</t>
        </is>
      </c>
      <c r="B24" t="inlineStr">
        <is>
          <t>2026-11-07</t>
        </is>
      </c>
      <c r="C24" t="inlineStr">
        <is>
          <t>72 h</t>
        </is>
      </c>
      <c r="D24" s="4" t="inlineStr"/>
      <c r="E24" s="4" t="inlineStr"/>
      <c r="F24" s="4" t="inlineStr"/>
      <c r="G24" s="4" t="inlineStr"/>
      <c r="H24" s="4" t="inlineStr"/>
      <c r="I24" s="4" t="inlineStr"/>
      <c r="J24" s="4" t="inlineStr"/>
      <c r="K24" s="4" t="inlineStr"/>
      <c r="L24" s="4" t="inlineStr"/>
      <c r="M24" s="4" t="inlineStr"/>
      <c r="N24" s="4" t="inlineStr"/>
      <c r="O24" s="4" t="inlineStr"/>
      <c r="P24" s="4" t="inlineStr"/>
      <c r="Q24">
        <f>IFERROR(L24/E24*1000,"")</f>
        <v/>
      </c>
      <c r="R24">
        <f>IFERROR(M24/E24*1000,"")</f>
        <v/>
      </c>
      <c r="S24">
        <f>IFERROR(N24/E24*1000,"")</f>
        <v/>
      </c>
      <c r="T24">
        <f>IFERROR(O24/N24*100,"")</f>
        <v/>
      </c>
      <c r="U24">
        <f>IFERROR(P24/N24*100,"")</f>
        <v/>
      </c>
      <c r="V24" t="inlineStr"/>
    </row>
    <row r="25">
      <c r="A25" t="inlineStr">
        <is>
          <t>WS-008</t>
        </is>
      </c>
      <c r="B25" t="inlineStr">
        <is>
          <t>2026-11-07</t>
        </is>
      </c>
      <c r="C25" t="inlineStr">
        <is>
          <t>7 d</t>
        </is>
      </c>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f>IFERROR(L25/E25*1000,"")</f>
        <v/>
      </c>
      <c r="R25">
        <f>IFERROR(M25/E25*1000,"")</f>
        <v/>
      </c>
      <c r="S25">
        <f>IFERROR(N25/E25*1000,"")</f>
        <v/>
      </c>
      <c r="T25">
        <f>IFERROR(O25/N25*100,"")</f>
        <v/>
      </c>
      <c r="U25">
        <f>IFERROR(P25/N25*100,"")</f>
        <v/>
      </c>
      <c r="V25" t="inlineStr"/>
    </row>
    <row r="26">
      <c r="A26" t="inlineStr">
        <is>
          <t>WS-009</t>
        </is>
      </c>
      <c r="B26" t="inlineStr">
        <is>
          <t>2026-11-08</t>
        </is>
      </c>
      <c r="C26" t="inlineStr">
        <is>
          <t>24 h</t>
        </is>
      </c>
      <c r="D26" s="4" t="inlineStr"/>
      <c r="E26" s="4" t="inlineStr"/>
      <c r="F26" s="4" t="inlineStr"/>
      <c r="G26" s="4" t="inlineStr"/>
      <c r="H26" s="4" t="inlineStr"/>
      <c r="I26" s="4" t="inlineStr"/>
      <c r="J26" s="4" t="inlineStr"/>
      <c r="K26" s="4" t="inlineStr"/>
      <c r="L26" s="4" t="inlineStr"/>
      <c r="M26" s="4" t="inlineStr"/>
      <c r="N26" s="4" t="inlineStr"/>
      <c r="O26" s="4" t="inlineStr"/>
      <c r="P26" s="4" t="inlineStr"/>
      <c r="Q26">
        <f>IFERROR(L26/E26*1000,"")</f>
        <v/>
      </c>
      <c r="R26">
        <f>IFERROR(M26/E26*1000,"")</f>
        <v/>
      </c>
      <c r="S26">
        <f>IFERROR(N26/E26*1000,"")</f>
        <v/>
      </c>
      <c r="T26">
        <f>IFERROR(O26/N26*100,"")</f>
        <v/>
      </c>
      <c r="U26">
        <f>IFERROR(P26/N26*100,"")</f>
        <v/>
      </c>
      <c r="V26" t="inlineStr"/>
    </row>
    <row r="27">
      <c r="A27" t="inlineStr">
        <is>
          <t>WS-009</t>
        </is>
      </c>
      <c r="B27" t="inlineStr">
        <is>
          <t>2026-11-08</t>
        </is>
      </c>
      <c r="C27" t="inlineStr">
        <is>
          <t>72 h</t>
        </is>
      </c>
      <c r="D27" s="4" t="inlineStr"/>
      <c r="E27" s="4" t="inlineStr"/>
      <c r="F27" s="4" t="inlineStr"/>
      <c r="G27" s="4" t="inlineStr"/>
      <c r="H27" s="4" t="inlineStr"/>
      <c r="I27" s="4" t="inlineStr"/>
      <c r="J27" s="4" t="inlineStr"/>
      <c r="K27" s="4" t="inlineStr"/>
      <c r="L27" s="4" t="inlineStr"/>
      <c r="M27" s="4" t="inlineStr"/>
      <c r="N27" s="4" t="inlineStr"/>
      <c r="O27" s="4" t="inlineStr"/>
      <c r="P27" s="4" t="inlineStr"/>
      <c r="Q27">
        <f>IFERROR(L27/E27*1000,"")</f>
        <v/>
      </c>
      <c r="R27">
        <f>IFERROR(M27/E27*1000,"")</f>
        <v/>
      </c>
      <c r="S27">
        <f>IFERROR(N27/E27*1000,"")</f>
        <v/>
      </c>
      <c r="T27">
        <f>IFERROR(O27/N27*100,"")</f>
        <v/>
      </c>
      <c r="U27">
        <f>IFERROR(P27/N27*100,"")</f>
        <v/>
      </c>
      <c r="V27" t="inlineStr"/>
    </row>
    <row r="28">
      <c r="A28" t="inlineStr">
        <is>
          <t>WS-009</t>
        </is>
      </c>
      <c r="B28" t="inlineStr">
        <is>
          <t>2026-11-08</t>
        </is>
      </c>
      <c r="C28" t="inlineStr">
        <is>
          <t>7 d</t>
        </is>
      </c>
      <c r="D28" s="4" t="inlineStr"/>
      <c r="E28" s="4" t="inlineStr"/>
      <c r="F28" s="4" t="inlineStr"/>
      <c r="G28" s="4" t="inlineStr"/>
      <c r="H28" s="4" t="inlineStr"/>
      <c r="I28" s="4" t="inlineStr"/>
      <c r="J28" s="4" t="inlineStr"/>
      <c r="K28" s="4" t="inlineStr"/>
      <c r="L28" s="4" t="inlineStr"/>
      <c r="M28" s="4" t="inlineStr"/>
      <c r="N28" s="4" t="inlineStr"/>
      <c r="O28" s="4" t="inlineStr"/>
      <c r="P28" s="4" t="inlineStr"/>
      <c r="Q28">
        <f>IFERROR(L28/E28*1000,"")</f>
        <v/>
      </c>
      <c r="R28">
        <f>IFERROR(M28/E28*1000,"")</f>
        <v/>
      </c>
      <c r="S28">
        <f>IFERROR(N28/E28*1000,"")</f>
        <v/>
      </c>
      <c r="T28">
        <f>IFERROR(O28/N28*100,"")</f>
        <v/>
      </c>
      <c r="U28">
        <f>IFERROR(P28/N28*100,"")</f>
        <v/>
      </c>
      <c r="V28" t="inlineStr"/>
    </row>
    <row r="29">
      <c r="A29" t="inlineStr">
        <is>
          <t>WS-010</t>
        </is>
      </c>
      <c r="B29" t="inlineStr">
        <is>
          <t>2026-11-09</t>
        </is>
      </c>
      <c r="C29" t="inlineStr">
        <is>
          <t>24 h</t>
        </is>
      </c>
      <c r="D29" s="4" t="inlineStr"/>
      <c r="E29" s="4" t="inlineStr"/>
      <c r="F29" s="4" t="inlineStr"/>
      <c r="G29" s="4" t="inlineStr"/>
      <c r="H29" s="4" t="inlineStr"/>
      <c r="I29" s="4" t="inlineStr"/>
      <c r="J29" s="4" t="inlineStr"/>
      <c r="K29" s="4" t="inlineStr"/>
      <c r="L29" s="4" t="inlineStr"/>
      <c r="M29" s="4" t="inlineStr"/>
      <c r="N29" s="4" t="inlineStr"/>
      <c r="O29" s="4" t="inlineStr"/>
      <c r="P29" s="4" t="inlineStr"/>
      <c r="Q29">
        <f>IFERROR(L29/E29*1000,"")</f>
        <v/>
      </c>
      <c r="R29">
        <f>IFERROR(M29/E29*1000,"")</f>
        <v/>
      </c>
      <c r="S29">
        <f>IFERROR(N29/E29*1000,"")</f>
        <v/>
      </c>
      <c r="T29">
        <f>IFERROR(O29/N29*100,"")</f>
        <v/>
      </c>
      <c r="U29">
        <f>IFERROR(P29/N29*100,"")</f>
        <v/>
      </c>
      <c r="V29" t="inlineStr"/>
    </row>
    <row r="30">
      <c r="A30" t="inlineStr">
        <is>
          <t>WS-010</t>
        </is>
      </c>
      <c r="B30" t="inlineStr">
        <is>
          <t>2026-11-09</t>
        </is>
      </c>
      <c r="C30" t="inlineStr">
        <is>
          <t>72 h</t>
        </is>
      </c>
      <c r="D30" s="4" t="inlineStr"/>
      <c r="E30" s="4" t="inlineStr"/>
      <c r="F30" s="4" t="inlineStr"/>
      <c r="G30" s="4" t="inlineStr"/>
      <c r="H30" s="4" t="inlineStr"/>
      <c r="I30" s="4" t="inlineStr"/>
      <c r="J30" s="4" t="inlineStr"/>
      <c r="K30" s="4" t="inlineStr"/>
      <c r="L30" s="4" t="inlineStr"/>
      <c r="M30" s="4" t="inlineStr"/>
      <c r="N30" s="4" t="inlineStr"/>
      <c r="O30" s="4" t="inlineStr"/>
      <c r="P30" s="4" t="inlineStr"/>
      <c r="Q30">
        <f>IFERROR(L30/E30*1000,"")</f>
        <v/>
      </c>
      <c r="R30">
        <f>IFERROR(M30/E30*1000,"")</f>
        <v/>
      </c>
      <c r="S30">
        <f>IFERROR(N30/E30*1000,"")</f>
        <v/>
      </c>
      <c r="T30">
        <f>IFERROR(O30/N30*100,"")</f>
        <v/>
      </c>
      <c r="U30">
        <f>IFERROR(P30/N30*100,"")</f>
        <v/>
      </c>
      <c r="V30" t="inlineStr"/>
    </row>
    <row r="31">
      <c r="A31" t="inlineStr">
        <is>
          <t>WS-010</t>
        </is>
      </c>
      <c r="B31" t="inlineStr">
        <is>
          <t>2026-11-09</t>
        </is>
      </c>
      <c r="C31" t="inlineStr">
        <is>
          <t>7 d</t>
        </is>
      </c>
      <c r="D31" s="4" t="inlineStr"/>
      <c r="E31" s="4" t="inlineStr"/>
      <c r="F31" s="4" t="inlineStr"/>
      <c r="G31" s="4" t="inlineStr"/>
      <c r="H31" s="4" t="inlineStr"/>
      <c r="I31" s="4" t="inlineStr"/>
      <c r="J31" s="4" t="inlineStr"/>
      <c r="K31" s="4" t="inlineStr"/>
      <c r="L31" s="4" t="inlineStr"/>
      <c r="M31" s="4" t="inlineStr"/>
      <c r="N31" s="4" t="inlineStr"/>
      <c r="O31" s="4" t="inlineStr"/>
      <c r="P31" s="4" t="inlineStr"/>
      <c r="Q31">
        <f>IFERROR(L31/E31*1000,"")</f>
        <v/>
      </c>
      <c r="R31">
        <f>IFERROR(M31/E31*1000,"")</f>
        <v/>
      </c>
      <c r="S31">
        <f>IFERROR(N31/E31*1000,"")</f>
        <v/>
      </c>
      <c r="T31">
        <f>IFERROR(O31/N31*100,"")</f>
        <v/>
      </c>
      <c r="U31">
        <f>IFERROR(P31/N31*100,"")</f>
        <v/>
      </c>
      <c r="V31" t="inlineStr"/>
    </row>
    <row r="32">
      <c r="A32" t="inlineStr">
        <is>
          <t>WS-011</t>
        </is>
      </c>
      <c r="B32" t="inlineStr">
        <is>
          <t>2026-11-10</t>
        </is>
      </c>
      <c r="C32" t="inlineStr">
        <is>
          <t>24 h</t>
        </is>
      </c>
      <c r="D32" s="4" t="inlineStr"/>
      <c r="E32" s="4" t="inlineStr"/>
      <c r="F32" s="4" t="inlineStr"/>
      <c r="G32" s="4" t="inlineStr"/>
      <c r="H32" s="4" t="inlineStr"/>
      <c r="I32" s="4" t="inlineStr"/>
      <c r="J32" s="4" t="inlineStr"/>
      <c r="K32" s="4" t="inlineStr"/>
      <c r="L32" s="4" t="inlineStr"/>
      <c r="M32" s="4" t="inlineStr"/>
      <c r="N32" s="4" t="inlineStr"/>
      <c r="O32" s="4" t="inlineStr"/>
      <c r="P32" s="4" t="inlineStr"/>
      <c r="Q32">
        <f>IFERROR(L32/E32*1000,"")</f>
        <v/>
      </c>
      <c r="R32">
        <f>IFERROR(M32/E32*1000,"")</f>
        <v/>
      </c>
      <c r="S32">
        <f>IFERROR(N32/E32*1000,"")</f>
        <v/>
      </c>
      <c r="T32">
        <f>IFERROR(O32/N32*100,"")</f>
        <v/>
      </c>
      <c r="U32">
        <f>IFERROR(P32/N32*100,"")</f>
        <v/>
      </c>
      <c r="V32" t="inlineStr"/>
    </row>
    <row r="33">
      <c r="A33" t="inlineStr">
        <is>
          <t>WS-011</t>
        </is>
      </c>
      <c r="B33" t="inlineStr">
        <is>
          <t>2026-11-10</t>
        </is>
      </c>
      <c r="C33" t="inlineStr">
        <is>
          <t>72 h</t>
        </is>
      </c>
      <c r="D33" s="4" t="inlineStr"/>
      <c r="E33" s="4" t="inlineStr"/>
      <c r="F33" s="4" t="inlineStr"/>
      <c r="G33" s="4" t="inlineStr"/>
      <c r="H33" s="4" t="inlineStr"/>
      <c r="I33" s="4" t="inlineStr"/>
      <c r="J33" s="4" t="inlineStr"/>
      <c r="K33" s="4" t="inlineStr"/>
      <c r="L33" s="4" t="inlineStr"/>
      <c r="M33" s="4" t="inlineStr"/>
      <c r="N33" s="4" t="inlineStr"/>
      <c r="O33" s="4" t="inlineStr"/>
      <c r="P33" s="4" t="inlineStr"/>
      <c r="Q33">
        <f>IFERROR(L33/E33*1000,"")</f>
        <v/>
      </c>
      <c r="R33">
        <f>IFERROR(M33/E33*1000,"")</f>
        <v/>
      </c>
      <c r="S33">
        <f>IFERROR(N33/E33*1000,"")</f>
        <v/>
      </c>
      <c r="T33">
        <f>IFERROR(O33/N33*100,"")</f>
        <v/>
      </c>
      <c r="U33">
        <f>IFERROR(P33/N33*100,"")</f>
        <v/>
      </c>
      <c r="V33" t="inlineStr"/>
    </row>
    <row r="34">
      <c r="A34" t="inlineStr">
        <is>
          <t>WS-011</t>
        </is>
      </c>
      <c r="B34" t="inlineStr">
        <is>
          <t>2026-11-10</t>
        </is>
      </c>
      <c r="C34" t="inlineStr">
        <is>
          <t>7 d</t>
        </is>
      </c>
      <c r="D34" s="4" t="inlineStr"/>
      <c r="E34" s="4" t="inlineStr"/>
      <c r="F34" s="4" t="inlineStr"/>
      <c r="G34" s="4" t="inlineStr"/>
      <c r="H34" s="4" t="inlineStr"/>
      <c r="I34" s="4" t="inlineStr"/>
      <c r="J34" s="4" t="inlineStr"/>
      <c r="K34" s="4" t="inlineStr"/>
      <c r="L34" s="4" t="inlineStr"/>
      <c r="M34" s="4" t="inlineStr"/>
      <c r="N34" s="4" t="inlineStr"/>
      <c r="O34" s="4" t="inlineStr"/>
      <c r="P34" s="4" t="inlineStr"/>
      <c r="Q34">
        <f>IFERROR(L34/E34*1000,"")</f>
        <v/>
      </c>
      <c r="R34">
        <f>IFERROR(M34/E34*1000,"")</f>
        <v/>
      </c>
      <c r="S34">
        <f>IFERROR(N34/E34*1000,"")</f>
        <v/>
      </c>
      <c r="T34">
        <f>IFERROR(O34/N34*100,"")</f>
        <v/>
      </c>
      <c r="U34">
        <f>IFERROR(P34/N34*100,"")</f>
        <v/>
      </c>
      <c r="V34" t="inlineStr"/>
    </row>
    <row r="35">
      <c r="A35" t="inlineStr">
        <is>
          <t>WS-012</t>
        </is>
      </c>
      <c r="B35" t="inlineStr">
        <is>
          <t>2026-11-11</t>
        </is>
      </c>
      <c r="C35" t="inlineStr">
        <is>
          <t>24 h</t>
        </is>
      </c>
      <c r="D35" s="4" t="inlineStr"/>
      <c r="E35" s="4" t="inlineStr"/>
      <c r="F35" s="4" t="inlineStr"/>
      <c r="G35" s="4" t="inlineStr"/>
      <c r="H35" s="4" t="inlineStr"/>
      <c r="I35" s="4" t="inlineStr"/>
      <c r="J35" s="4" t="inlineStr"/>
      <c r="K35" s="4" t="inlineStr"/>
      <c r="L35" s="4" t="inlineStr"/>
      <c r="M35" s="4" t="inlineStr"/>
      <c r="N35" s="4" t="inlineStr"/>
      <c r="O35" s="4" t="inlineStr"/>
      <c r="P35" s="4" t="inlineStr"/>
      <c r="Q35">
        <f>IFERROR(L35/E35*1000,"")</f>
        <v/>
      </c>
      <c r="R35">
        <f>IFERROR(M35/E35*1000,"")</f>
        <v/>
      </c>
      <c r="S35">
        <f>IFERROR(N35/E35*1000,"")</f>
        <v/>
      </c>
      <c r="T35">
        <f>IFERROR(O35/N35*100,"")</f>
        <v/>
      </c>
      <c r="U35">
        <f>IFERROR(P35/N35*100,"")</f>
        <v/>
      </c>
      <c r="V35" t="inlineStr"/>
    </row>
    <row r="36">
      <c r="A36" t="inlineStr">
        <is>
          <t>WS-012</t>
        </is>
      </c>
      <c r="B36" t="inlineStr">
        <is>
          <t>2026-11-11</t>
        </is>
      </c>
      <c r="C36" t="inlineStr">
        <is>
          <t>72 h</t>
        </is>
      </c>
      <c r="D36" s="4" t="inlineStr"/>
      <c r="E36" s="4" t="inlineStr"/>
      <c r="F36" s="4" t="inlineStr"/>
      <c r="G36" s="4" t="inlineStr"/>
      <c r="H36" s="4" t="inlineStr"/>
      <c r="I36" s="4" t="inlineStr"/>
      <c r="J36" s="4" t="inlineStr"/>
      <c r="K36" s="4" t="inlineStr"/>
      <c r="L36" s="4" t="inlineStr"/>
      <c r="M36" s="4" t="inlineStr"/>
      <c r="N36" s="4" t="inlineStr"/>
      <c r="O36" s="4" t="inlineStr"/>
      <c r="P36" s="4" t="inlineStr"/>
      <c r="Q36">
        <f>IFERROR(L36/E36*1000,"")</f>
        <v/>
      </c>
      <c r="R36">
        <f>IFERROR(M36/E36*1000,"")</f>
        <v/>
      </c>
      <c r="S36">
        <f>IFERROR(N36/E36*1000,"")</f>
        <v/>
      </c>
      <c r="T36">
        <f>IFERROR(O36/N36*100,"")</f>
        <v/>
      </c>
      <c r="U36">
        <f>IFERROR(P36/N36*100,"")</f>
        <v/>
      </c>
      <c r="V36" t="inlineStr"/>
    </row>
    <row r="37">
      <c r="A37" t="inlineStr">
        <is>
          <t>WS-012</t>
        </is>
      </c>
      <c r="B37" t="inlineStr">
        <is>
          <t>2026-11-11</t>
        </is>
      </c>
      <c r="C37" t="inlineStr">
        <is>
          <t>7 d</t>
        </is>
      </c>
      <c r="D37" s="4" t="inlineStr"/>
      <c r="E37" s="4" t="inlineStr"/>
      <c r="F37" s="4" t="inlineStr"/>
      <c r="G37" s="4" t="inlineStr"/>
      <c r="H37" s="4" t="inlineStr"/>
      <c r="I37" s="4" t="inlineStr"/>
      <c r="J37" s="4" t="inlineStr"/>
      <c r="K37" s="4" t="inlineStr"/>
      <c r="L37" s="4" t="inlineStr"/>
      <c r="M37" s="4" t="inlineStr"/>
      <c r="N37" s="4" t="inlineStr"/>
      <c r="O37" s="4" t="inlineStr"/>
      <c r="P37" s="4" t="inlineStr"/>
      <c r="Q37">
        <f>IFERROR(L37/E37*1000,"")</f>
        <v/>
      </c>
      <c r="R37">
        <f>IFERROR(M37/E37*1000,"")</f>
        <v/>
      </c>
      <c r="S37">
        <f>IFERROR(N37/E37*1000,"")</f>
        <v/>
      </c>
      <c r="T37">
        <f>IFERROR(O37/N37*100,"")</f>
        <v/>
      </c>
      <c r="U37">
        <f>IFERROR(P37/N37*100,"")</f>
        <v/>
      </c>
      <c r="V37" t="inlineStr"/>
    </row>
    <row r="38">
      <c r="A38" t="inlineStr">
        <is>
          <t>WS-013</t>
        </is>
      </c>
      <c r="B38" t="inlineStr">
        <is>
          <t>2026-11-12</t>
        </is>
      </c>
      <c r="C38" t="inlineStr">
        <is>
          <t>24 h</t>
        </is>
      </c>
      <c r="D38" s="4" t="inlineStr"/>
      <c r="E38" s="4" t="inlineStr"/>
      <c r="F38" s="4" t="inlineStr"/>
      <c r="G38" s="4" t="inlineStr"/>
      <c r="H38" s="4" t="inlineStr"/>
      <c r="I38" s="4" t="inlineStr"/>
      <c r="J38" s="4" t="inlineStr"/>
      <c r="K38" s="4" t="inlineStr"/>
      <c r="L38" s="4" t="inlineStr"/>
      <c r="M38" s="4" t="inlineStr"/>
      <c r="N38" s="4" t="inlineStr"/>
      <c r="O38" s="4" t="inlineStr"/>
      <c r="P38" s="4" t="inlineStr"/>
      <c r="Q38">
        <f>IFERROR(L38/E38*1000,"")</f>
        <v/>
      </c>
      <c r="R38">
        <f>IFERROR(M38/E38*1000,"")</f>
        <v/>
      </c>
      <c r="S38">
        <f>IFERROR(N38/E38*1000,"")</f>
        <v/>
      </c>
      <c r="T38">
        <f>IFERROR(O38/N38*100,"")</f>
        <v/>
      </c>
      <c r="U38">
        <f>IFERROR(P38/N38*100,"")</f>
        <v/>
      </c>
      <c r="V38" t="inlineStr"/>
    </row>
    <row r="39">
      <c r="A39" t="inlineStr">
        <is>
          <t>WS-013</t>
        </is>
      </c>
      <c r="B39" t="inlineStr">
        <is>
          <t>2026-11-12</t>
        </is>
      </c>
      <c r="C39" t="inlineStr">
        <is>
          <t>72 h</t>
        </is>
      </c>
      <c r="D39" s="4" t="inlineStr"/>
      <c r="E39" s="4" t="inlineStr"/>
      <c r="F39" s="4" t="inlineStr"/>
      <c r="G39" s="4" t="inlineStr"/>
      <c r="H39" s="4" t="inlineStr"/>
      <c r="I39" s="4" t="inlineStr"/>
      <c r="J39" s="4" t="inlineStr"/>
      <c r="K39" s="4" t="inlineStr"/>
      <c r="L39" s="4" t="inlineStr"/>
      <c r="M39" s="4" t="inlineStr"/>
      <c r="N39" s="4" t="inlineStr"/>
      <c r="O39" s="4" t="inlineStr"/>
      <c r="P39" s="4" t="inlineStr"/>
      <c r="Q39">
        <f>IFERROR(L39/E39*1000,"")</f>
        <v/>
      </c>
      <c r="R39">
        <f>IFERROR(M39/E39*1000,"")</f>
        <v/>
      </c>
      <c r="S39">
        <f>IFERROR(N39/E39*1000,"")</f>
        <v/>
      </c>
      <c r="T39">
        <f>IFERROR(O39/N39*100,"")</f>
        <v/>
      </c>
      <c r="U39">
        <f>IFERROR(P39/N39*100,"")</f>
        <v/>
      </c>
      <c r="V39" t="inlineStr"/>
    </row>
    <row r="40">
      <c r="A40" t="inlineStr">
        <is>
          <t>WS-013</t>
        </is>
      </c>
      <c r="B40" t="inlineStr">
        <is>
          <t>2026-11-12</t>
        </is>
      </c>
      <c r="C40" t="inlineStr">
        <is>
          <t>7 d</t>
        </is>
      </c>
      <c r="D40" s="4" t="inlineStr"/>
      <c r="E40" s="4" t="inlineStr"/>
      <c r="F40" s="4" t="inlineStr"/>
      <c r="G40" s="4" t="inlineStr"/>
      <c r="H40" s="4" t="inlineStr"/>
      <c r="I40" s="4" t="inlineStr"/>
      <c r="J40" s="4" t="inlineStr"/>
      <c r="K40" s="4" t="inlineStr"/>
      <c r="L40" s="4" t="inlineStr"/>
      <c r="M40" s="4" t="inlineStr"/>
      <c r="N40" s="4" t="inlineStr"/>
      <c r="O40" s="4" t="inlineStr"/>
      <c r="P40" s="4" t="inlineStr"/>
      <c r="Q40">
        <f>IFERROR(L40/E40*1000,"")</f>
        <v/>
      </c>
      <c r="R40">
        <f>IFERROR(M40/E40*1000,"")</f>
        <v/>
      </c>
      <c r="S40">
        <f>IFERROR(N40/E40*1000,"")</f>
        <v/>
      </c>
      <c r="T40">
        <f>IFERROR(O40/N40*100,"")</f>
        <v/>
      </c>
      <c r="U40">
        <f>IFERROR(P40/N40*100,"")</f>
        <v/>
      </c>
      <c r="V40" t="inlineStr"/>
    </row>
    <row r="41">
      <c r="A41" t="inlineStr">
        <is>
          <t>WS-014</t>
        </is>
      </c>
      <c r="B41" t="inlineStr">
        <is>
          <t>2026-11-13</t>
        </is>
      </c>
      <c r="C41" t="inlineStr">
        <is>
          <t>24 h</t>
        </is>
      </c>
      <c r="D41" s="4" t="inlineStr"/>
      <c r="E41" s="4" t="inlineStr"/>
      <c r="F41" s="4" t="inlineStr"/>
      <c r="G41" s="4" t="inlineStr"/>
      <c r="H41" s="4" t="inlineStr"/>
      <c r="I41" s="4" t="inlineStr"/>
      <c r="J41" s="4" t="inlineStr"/>
      <c r="K41" s="4" t="inlineStr"/>
      <c r="L41" s="4" t="inlineStr"/>
      <c r="M41" s="4" t="inlineStr"/>
      <c r="N41" s="4" t="inlineStr"/>
      <c r="O41" s="4" t="inlineStr"/>
      <c r="P41" s="4" t="inlineStr"/>
      <c r="Q41">
        <f>IFERROR(L41/E41*1000,"")</f>
        <v/>
      </c>
      <c r="R41">
        <f>IFERROR(M41/E41*1000,"")</f>
        <v/>
      </c>
      <c r="S41">
        <f>IFERROR(N41/E41*1000,"")</f>
        <v/>
      </c>
      <c r="T41">
        <f>IFERROR(O41/N41*100,"")</f>
        <v/>
      </c>
      <c r="U41">
        <f>IFERROR(P41/N41*100,"")</f>
        <v/>
      </c>
      <c r="V41" t="inlineStr"/>
    </row>
    <row r="42">
      <c r="A42" t="inlineStr">
        <is>
          <t>WS-014</t>
        </is>
      </c>
      <c r="B42" t="inlineStr">
        <is>
          <t>2026-11-13</t>
        </is>
      </c>
      <c r="C42" t="inlineStr">
        <is>
          <t>72 h</t>
        </is>
      </c>
      <c r="D42" s="4" t="inlineStr"/>
      <c r="E42" s="4" t="inlineStr"/>
      <c r="F42" s="4" t="inlineStr"/>
      <c r="G42" s="4" t="inlineStr"/>
      <c r="H42" s="4" t="inlineStr"/>
      <c r="I42" s="4" t="inlineStr"/>
      <c r="J42" s="4" t="inlineStr"/>
      <c r="K42" s="4" t="inlineStr"/>
      <c r="L42" s="4" t="inlineStr"/>
      <c r="M42" s="4" t="inlineStr"/>
      <c r="N42" s="4" t="inlineStr"/>
      <c r="O42" s="4" t="inlineStr"/>
      <c r="P42" s="4" t="inlineStr"/>
      <c r="Q42">
        <f>IFERROR(L42/E42*1000,"")</f>
        <v/>
      </c>
      <c r="R42">
        <f>IFERROR(M42/E42*1000,"")</f>
        <v/>
      </c>
      <c r="S42">
        <f>IFERROR(N42/E42*1000,"")</f>
        <v/>
      </c>
      <c r="T42">
        <f>IFERROR(O42/N42*100,"")</f>
        <v/>
      </c>
      <c r="U42">
        <f>IFERROR(P42/N42*100,"")</f>
        <v/>
      </c>
      <c r="V42" t="inlineStr"/>
    </row>
    <row r="43">
      <c r="A43" t="inlineStr">
        <is>
          <t>WS-014</t>
        </is>
      </c>
      <c r="B43" t="inlineStr">
        <is>
          <t>2026-11-13</t>
        </is>
      </c>
      <c r="C43" t="inlineStr">
        <is>
          <t>7 d</t>
        </is>
      </c>
      <c r="D43" s="4" t="inlineStr"/>
      <c r="E43" s="4" t="inlineStr"/>
      <c r="F43" s="4" t="inlineStr"/>
      <c r="G43" s="4" t="inlineStr"/>
      <c r="H43" s="4" t="inlineStr"/>
      <c r="I43" s="4" t="inlineStr"/>
      <c r="J43" s="4" t="inlineStr"/>
      <c r="K43" s="4" t="inlineStr"/>
      <c r="L43" s="4" t="inlineStr"/>
      <c r="M43" s="4" t="inlineStr"/>
      <c r="N43" s="4" t="inlineStr"/>
      <c r="O43" s="4" t="inlineStr"/>
      <c r="P43" s="4" t="inlineStr"/>
      <c r="Q43">
        <f>IFERROR(L43/E43*1000,"")</f>
        <v/>
      </c>
      <c r="R43">
        <f>IFERROR(M43/E43*1000,"")</f>
        <v/>
      </c>
      <c r="S43">
        <f>IFERROR(N43/E43*1000,"")</f>
        <v/>
      </c>
      <c r="T43">
        <f>IFERROR(O43/N43*100,"")</f>
        <v/>
      </c>
      <c r="U43">
        <f>IFERROR(P43/N43*100,"")</f>
        <v/>
      </c>
      <c r="V43" t="inlineStr"/>
    </row>
    <row r="44">
      <c r="A44" t="inlineStr">
        <is>
          <t>WS-015</t>
        </is>
      </c>
      <c r="B44" t="inlineStr">
        <is>
          <t>2026-11-14</t>
        </is>
      </c>
      <c r="C44" t="inlineStr">
        <is>
          <t>24 h</t>
        </is>
      </c>
      <c r="D44" s="4" t="inlineStr"/>
      <c r="E44" s="4" t="inlineStr"/>
      <c r="F44" s="4" t="inlineStr"/>
      <c r="G44" s="4" t="inlineStr"/>
      <c r="H44" s="4" t="inlineStr"/>
      <c r="I44" s="4" t="inlineStr"/>
      <c r="J44" s="4" t="inlineStr"/>
      <c r="K44" s="4" t="inlineStr"/>
      <c r="L44" s="4" t="inlineStr"/>
      <c r="M44" s="4" t="inlineStr"/>
      <c r="N44" s="4" t="inlineStr"/>
      <c r="O44" s="4" t="inlineStr"/>
      <c r="P44" s="4" t="inlineStr"/>
      <c r="Q44">
        <f>IFERROR(L44/E44*1000,"")</f>
        <v/>
      </c>
      <c r="R44">
        <f>IFERROR(M44/E44*1000,"")</f>
        <v/>
      </c>
      <c r="S44">
        <f>IFERROR(N44/E44*1000,"")</f>
        <v/>
      </c>
      <c r="T44">
        <f>IFERROR(O44/N44*100,"")</f>
        <v/>
      </c>
      <c r="U44">
        <f>IFERROR(P44/N44*100,"")</f>
        <v/>
      </c>
      <c r="V44" t="inlineStr"/>
    </row>
    <row r="45">
      <c r="A45" t="inlineStr">
        <is>
          <t>WS-015</t>
        </is>
      </c>
      <c r="B45" t="inlineStr">
        <is>
          <t>2026-11-14</t>
        </is>
      </c>
      <c r="C45" t="inlineStr">
        <is>
          <t>72 h</t>
        </is>
      </c>
      <c r="D45" s="4" t="inlineStr"/>
      <c r="E45" s="4" t="inlineStr"/>
      <c r="F45" s="4" t="inlineStr"/>
      <c r="G45" s="4" t="inlineStr"/>
      <c r="H45" s="4" t="inlineStr"/>
      <c r="I45" s="4" t="inlineStr"/>
      <c r="J45" s="4" t="inlineStr"/>
      <c r="K45" s="4" t="inlineStr"/>
      <c r="L45" s="4" t="inlineStr"/>
      <c r="M45" s="4" t="inlineStr"/>
      <c r="N45" s="4" t="inlineStr"/>
      <c r="O45" s="4" t="inlineStr"/>
      <c r="P45" s="4" t="inlineStr"/>
      <c r="Q45">
        <f>IFERROR(L45/E45*1000,"")</f>
        <v/>
      </c>
      <c r="R45">
        <f>IFERROR(M45/E45*1000,"")</f>
        <v/>
      </c>
      <c r="S45">
        <f>IFERROR(N45/E45*1000,"")</f>
        <v/>
      </c>
      <c r="T45">
        <f>IFERROR(O45/N45*100,"")</f>
        <v/>
      </c>
      <c r="U45">
        <f>IFERROR(P45/N45*100,"")</f>
        <v/>
      </c>
      <c r="V45" t="inlineStr"/>
    </row>
    <row r="46">
      <c r="A46" t="inlineStr">
        <is>
          <t>WS-015</t>
        </is>
      </c>
      <c r="B46" t="inlineStr">
        <is>
          <t>2026-11-14</t>
        </is>
      </c>
      <c r="C46" t="inlineStr">
        <is>
          <t>7 d</t>
        </is>
      </c>
      <c r="D46" s="4" t="inlineStr"/>
      <c r="E46" s="4" t="inlineStr"/>
      <c r="F46" s="4" t="inlineStr"/>
      <c r="G46" s="4" t="inlineStr"/>
      <c r="H46" s="4" t="inlineStr"/>
      <c r="I46" s="4" t="inlineStr"/>
      <c r="J46" s="4" t="inlineStr"/>
      <c r="K46" s="4" t="inlineStr"/>
      <c r="L46" s="4" t="inlineStr"/>
      <c r="M46" s="4" t="inlineStr"/>
      <c r="N46" s="4" t="inlineStr"/>
      <c r="O46" s="4" t="inlineStr"/>
      <c r="P46" s="4" t="inlineStr"/>
      <c r="Q46">
        <f>IFERROR(L46/E46*1000,"")</f>
        <v/>
      </c>
      <c r="R46">
        <f>IFERROR(M46/E46*1000,"")</f>
        <v/>
      </c>
      <c r="S46">
        <f>IFERROR(N46/E46*1000,"")</f>
        <v/>
      </c>
      <c r="T46">
        <f>IFERROR(O46/N46*100,"")</f>
        <v/>
      </c>
      <c r="U46">
        <f>IFERROR(P46/N46*100,"")</f>
        <v/>
      </c>
      <c r="V46" t="inlineStr"/>
    </row>
    <row r="47">
      <c r="A47" t="inlineStr">
        <is>
          <t>WS-016</t>
        </is>
      </c>
      <c r="B47" t="inlineStr">
        <is>
          <t>2026-11-15</t>
        </is>
      </c>
      <c r="C47" t="inlineStr">
        <is>
          <t>24 h</t>
        </is>
      </c>
      <c r="D47" s="4" t="inlineStr"/>
      <c r="E47" s="4" t="inlineStr"/>
      <c r="F47" s="4" t="inlineStr"/>
      <c r="G47" s="4" t="inlineStr"/>
      <c r="H47" s="4" t="inlineStr"/>
      <c r="I47" s="4" t="inlineStr"/>
      <c r="J47" s="4" t="inlineStr"/>
      <c r="K47" s="4" t="inlineStr"/>
      <c r="L47" s="4" t="inlineStr"/>
      <c r="M47" s="4" t="inlineStr"/>
      <c r="N47" s="4" t="inlineStr"/>
      <c r="O47" s="4" t="inlineStr"/>
      <c r="P47" s="4" t="inlineStr"/>
      <c r="Q47">
        <f>IFERROR(L47/E47*1000,"")</f>
        <v/>
      </c>
      <c r="R47">
        <f>IFERROR(M47/E47*1000,"")</f>
        <v/>
      </c>
      <c r="S47">
        <f>IFERROR(N47/E47*1000,"")</f>
        <v/>
      </c>
      <c r="T47">
        <f>IFERROR(O47/N47*100,"")</f>
        <v/>
      </c>
      <c r="U47">
        <f>IFERROR(P47/N47*100,"")</f>
        <v/>
      </c>
      <c r="V47" t="inlineStr"/>
    </row>
    <row r="48">
      <c r="A48" t="inlineStr">
        <is>
          <t>WS-016</t>
        </is>
      </c>
      <c r="B48" t="inlineStr">
        <is>
          <t>2026-11-15</t>
        </is>
      </c>
      <c r="C48" t="inlineStr">
        <is>
          <t>72 h</t>
        </is>
      </c>
      <c r="D48" s="4" t="inlineStr"/>
      <c r="E48" s="4" t="inlineStr"/>
      <c r="F48" s="4" t="inlineStr"/>
      <c r="G48" s="4" t="inlineStr"/>
      <c r="H48" s="4" t="inlineStr"/>
      <c r="I48" s="4" t="inlineStr"/>
      <c r="J48" s="4" t="inlineStr"/>
      <c r="K48" s="4" t="inlineStr"/>
      <c r="L48" s="4" t="inlineStr"/>
      <c r="M48" s="4" t="inlineStr"/>
      <c r="N48" s="4" t="inlineStr"/>
      <c r="O48" s="4" t="inlineStr"/>
      <c r="P48" s="4" t="inlineStr"/>
      <c r="Q48">
        <f>IFERROR(L48/E48*1000,"")</f>
        <v/>
      </c>
      <c r="R48">
        <f>IFERROR(M48/E48*1000,"")</f>
        <v/>
      </c>
      <c r="S48">
        <f>IFERROR(N48/E48*1000,"")</f>
        <v/>
      </c>
      <c r="T48">
        <f>IFERROR(O48/N48*100,"")</f>
        <v/>
      </c>
      <c r="U48">
        <f>IFERROR(P48/N48*100,"")</f>
        <v/>
      </c>
      <c r="V48" t="inlineStr"/>
    </row>
    <row r="49">
      <c r="A49" t="inlineStr">
        <is>
          <t>WS-016</t>
        </is>
      </c>
      <c r="B49" t="inlineStr">
        <is>
          <t>2026-11-15</t>
        </is>
      </c>
      <c r="C49" t="inlineStr">
        <is>
          <t>7 d</t>
        </is>
      </c>
      <c r="D49" s="4" t="inlineStr"/>
      <c r="E49" s="4" t="inlineStr"/>
      <c r="F49" s="4" t="inlineStr"/>
      <c r="G49" s="4" t="inlineStr"/>
      <c r="H49" s="4" t="inlineStr"/>
      <c r="I49" s="4" t="inlineStr"/>
      <c r="J49" s="4" t="inlineStr"/>
      <c r="K49" s="4" t="inlineStr"/>
      <c r="L49" s="4" t="inlineStr"/>
      <c r="M49" s="4" t="inlineStr"/>
      <c r="N49" s="4" t="inlineStr"/>
      <c r="O49" s="4" t="inlineStr"/>
      <c r="P49" s="4" t="inlineStr"/>
      <c r="Q49">
        <f>IFERROR(L49/E49*1000,"")</f>
        <v/>
      </c>
      <c r="R49">
        <f>IFERROR(M49/E49*1000,"")</f>
        <v/>
      </c>
      <c r="S49">
        <f>IFERROR(N49/E49*1000,"")</f>
        <v/>
      </c>
      <c r="T49">
        <f>IFERROR(O49/N49*100,"")</f>
        <v/>
      </c>
      <c r="U49">
        <f>IFERROR(P49/N49*100,"")</f>
        <v/>
      </c>
      <c r="V49" t="inlineStr"/>
    </row>
    <row r="50">
      <c r="A50" t="inlineStr">
        <is>
          <t>WS-017</t>
        </is>
      </c>
      <c r="B50" t="inlineStr">
        <is>
          <t>2026-11-16</t>
        </is>
      </c>
      <c r="C50" t="inlineStr">
        <is>
          <t>24 h</t>
        </is>
      </c>
      <c r="D50" s="4" t="inlineStr"/>
      <c r="E50" s="4" t="inlineStr"/>
      <c r="F50" s="4" t="inlineStr"/>
      <c r="G50" s="4" t="inlineStr"/>
      <c r="H50" s="4" t="inlineStr"/>
      <c r="I50" s="4" t="inlineStr"/>
      <c r="J50" s="4" t="inlineStr"/>
      <c r="K50" s="4" t="inlineStr"/>
      <c r="L50" s="4" t="inlineStr"/>
      <c r="M50" s="4" t="inlineStr"/>
      <c r="N50" s="4" t="inlineStr"/>
      <c r="O50" s="4" t="inlineStr"/>
      <c r="P50" s="4" t="inlineStr"/>
      <c r="Q50">
        <f>IFERROR(L50/E50*1000,"")</f>
        <v/>
      </c>
      <c r="R50">
        <f>IFERROR(M50/E50*1000,"")</f>
        <v/>
      </c>
      <c r="S50">
        <f>IFERROR(N50/E50*1000,"")</f>
        <v/>
      </c>
      <c r="T50">
        <f>IFERROR(O50/N50*100,"")</f>
        <v/>
      </c>
      <c r="U50">
        <f>IFERROR(P50/N50*100,"")</f>
        <v/>
      </c>
      <c r="V50" t="inlineStr"/>
    </row>
    <row r="51">
      <c r="A51" t="inlineStr">
        <is>
          <t>WS-017</t>
        </is>
      </c>
      <c r="B51" t="inlineStr">
        <is>
          <t>2026-11-16</t>
        </is>
      </c>
      <c r="C51" t="inlineStr">
        <is>
          <t>72 h</t>
        </is>
      </c>
      <c r="D51" s="4" t="inlineStr"/>
      <c r="E51" s="4" t="inlineStr"/>
      <c r="F51" s="4" t="inlineStr"/>
      <c r="G51" s="4" t="inlineStr"/>
      <c r="H51" s="4" t="inlineStr"/>
      <c r="I51" s="4" t="inlineStr"/>
      <c r="J51" s="4" t="inlineStr"/>
      <c r="K51" s="4" t="inlineStr"/>
      <c r="L51" s="4" t="inlineStr"/>
      <c r="M51" s="4" t="inlineStr"/>
      <c r="N51" s="4" t="inlineStr"/>
      <c r="O51" s="4" t="inlineStr"/>
      <c r="P51" s="4" t="inlineStr"/>
      <c r="Q51">
        <f>IFERROR(L51/E51*1000,"")</f>
        <v/>
      </c>
      <c r="R51">
        <f>IFERROR(M51/E51*1000,"")</f>
        <v/>
      </c>
      <c r="S51">
        <f>IFERROR(N51/E51*1000,"")</f>
        <v/>
      </c>
      <c r="T51">
        <f>IFERROR(O51/N51*100,"")</f>
        <v/>
      </c>
      <c r="U51">
        <f>IFERROR(P51/N51*100,"")</f>
        <v/>
      </c>
      <c r="V51" t="inlineStr"/>
    </row>
    <row r="52">
      <c r="A52" t="inlineStr">
        <is>
          <t>WS-017</t>
        </is>
      </c>
      <c r="B52" t="inlineStr">
        <is>
          <t>2026-11-16</t>
        </is>
      </c>
      <c r="C52" t="inlineStr">
        <is>
          <t>7 d</t>
        </is>
      </c>
      <c r="D52" s="4" t="inlineStr"/>
      <c r="E52" s="4" t="inlineStr"/>
      <c r="F52" s="4" t="inlineStr"/>
      <c r="G52" s="4" t="inlineStr"/>
      <c r="H52" s="4" t="inlineStr"/>
      <c r="I52" s="4" t="inlineStr"/>
      <c r="J52" s="4" t="inlineStr"/>
      <c r="K52" s="4" t="inlineStr"/>
      <c r="L52" s="4" t="inlineStr"/>
      <c r="M52" s="4" t="inlineStr"/>
      <c r="N52" s="4" t="inlineStr"/>
      <c r="O52" s="4" t="inlineStr"/>
      <c r="P52" s="4" t="inlineStr"/>
      <c r="Q52">
        <f>IFERROR(L52/E52*1000,"")</f>
        <v/>
      </c>
      <c r="R52">
        <f>IFERROR(M52/E52*1000,"")</f>
        <v/>
      </c>
      <c r="S52">
        <f>IFERROR(N52/E52*1000,"")</f>
        <v/>
      </c>
      <c r="T52">
        <f>IFERROR(O52/N52*100,"")</f>
        <v/>
      </c>
      <c r="U52">
        <f>IFERROR(P52/N52*100,"")</f>
        <v/>
      </c>
      <c r="V52" t="inlineStr"/>
    </row>
    <row r="53">
      <c r="A53" t="inlineStr">
        <is>
          <t>WS-018</t>
        </is>
      </c>
      <c r="B53" t="inlineStr">
        <is>
          <t>2026-11-17</t>
        </is>
      </c>
      <c r="C53" t="inlineStr">
        <is>
          <t>24 h</t>
        </is>
      </c>
      <c r="D53" s="4" t="inlineStr"/>
      <c r="E53" s="4" t="inlineStr"/>
      <c r="F53" s="4" t="inlineStr"/>
      <c r="G53" s="4" t="inlineStr"/>
      <c r="H53" s="4" t="inlineStr"/>
      <c r="I53" s="4" t="inlineStr"/>
      <c r="J53" s="4" t="inlineStr"/>
      <c r="K53" s="4" t="inlineStr"/>
      <c r="L53" s="4" t="inlineStr"/>
      <c r="M53" s="4" t="inlineStr"/>
      <c r="N53" s="4" t="inlineStr"/>
      <c r="O53" s="4" t="inlineStr"/>
      <c r="P53" s="4" t="inlineStr"/>
      <c r="Q53">
        <f>IFERROR(L53/E53*1000,"")</f>
        <v/>
      </c>
      <c r="R53">
        <f>IFERROR(M53/E53*1000,"")</f>
        <v/>
      </c>
      <c r="S53">
        <f>IFERROR(N53/E53*1000,"")</f>
        <v/>
      </c>
      <c r="T53">
        <f>IFERROR(O53/N53*100,"")</f>
        <v/>
      </c>
      <c r="U53">
        <f>IFERROR(P53/N53*100,"")</f>
        <v/>
      </c>
      <c r="V53" t="inlineStr"/>
    </row>
    <row r="54">
      <c r="A54" t="inlineStr">
        <is>
          <t>WS-018</t>
        </is>
      </c>
      <c r="B54" t="inlineStr">
        <is>
          <t>2026-11-17</t>
        </is>
      </c>
      <c r="C54" t="inlineStr">
        <is>
          <t>72 h</t>
        </is>
      </c>
      <c r="D54" s="4" t="inlineStr"/>
      <c r="E54" s="4" t="inlineStr"/>
      <c r="F54" s="4" t="inlineStr"/>
      <c r="G54" s="4" t="inlineStr"/>
      <c r="H54" s="4" t="inlineStr"/>
      <c r="I54" s="4" t="inlineStr"/>
      <c r="J54" s="4" t="inlineStr"/>
      <c r="K54" s="4" t="inlineStr"/>
      <c r="L54" s="4" t="inlineStr"/>
      <c r="M54" s="4" t="inlineStr"/>
      <c r="N54" s="4" t="inlineStr"/>
      <c r="O54" s="4" t="inlineStr"/>
      <c r="P54" s="4" t="inlineStr"/>
      <c r="Q54">
        <f>IFERROR(L54/E54*1000,"")</f>
        <v/>
      </c>
      <c r="R54">
        <f>IFERROR(M54/E54*1000,"")</f>
        <v/>
      </c>
      <c r="S54">
        <f>IFERROR(N54/E54*1000,"")</f>
        <v/>
      </c>
      <c r="T54">
        <f>IFERROR(O54/N54*100,"")</f>
        <v/>
      </c>
      <c r="U54">
        <f>IFERROR(P54/N54*100,"")</f>
        <v/>
      </c>
      <c r="V54" t="inlineStr"/>
    </row>
    <row r="55">
      <c r="A55" t="inlineStr">
        <is>
          <t>WS-018</t>
        </is>
      </c>
      <c r="B55" t="inlineStr">
        <is>
          <t>2026-11-17</t>
        </is>
      </c>
      <c r="C55" t="inlineStr">
        <is>
          <t>7 d</t>
        </is>
      </c>
      <c r="D55" s="4" t="inlineStr"/>
      <c r="E55" s="4" t="inlineStr"/>
      <c r="F55" s="4" t="inlineStr"/>
      <c r="G55" s="4" t="inlineStr"/>
      <c r="H55" s="4" t="inlineStr"/>
      <c r="I55" s="4" t="inlineStr"/>
      <c r="J55" s="4" t="inlineStr"/>
      <c r="K55" s="4" t="inlineStr"/>
      <c r="L55" s="4" t="inlineStr"/>
      <c r="M55" s="4" t="inlineStr"/>
      <c r="N55" s="4" t="inlineStr"/>
      <c r="O55" s="4" t="inlineStr"/>
      <c r="P55" s="4" t="inlineStr"/>
      <c r="Q55">
        <f>IFERROR(L55/E55*1000,"")</f>
        <v/>
      </c>
      <c r="R55">
        <f>IFERROR(M55/E55*1000,"")</f>
        <v/>
      </c>
      <c r="S55">
        <f>IFERROR(N55/E55*1000,"")</f>
        <v/>
      </c>
      <c r="T55">
        <f>IFERROR(O55/N55*100,"")</f>
        <v/>
      </c>
      <c r="U55">
        <f>IFERROR(P55/N55*100,"")</f>
        <v/>
      </c>
      <c r="V55" t="inlineStr"/>
    </row>
    <row r="56">
      <c r="A56" t="inlineStr">
        <is>
          <t>WS-019</t>
        </is>
      </c>
      <c r="B56" t="inlineStr">
        <is>
          <t>2026-11-18</t>
        </is>
      </c>
      <c r="C56" t="inlineStr">
        <is>
          <t>24 h</t>
        </is>
      </c>
      <c r="D56" s="4" t="inlineStr"/>
      <c r="E56" s="4" t="inlineStr"/>
      <c r="F56" s="4" t="inlineStr"/>
      <c r="G56" s="4" t="inlineStr"/>
      <c r="H56" s="4" t="inlineStr"/>
      <c r="I56" s="4" t="inlineStr"/>
      <c r="J56" s="4" t="inlineStr"/>
      <c r="K56" s="4" t="inlineStr"/>
      <c r="L56" s="4" t="inlineStr"/>
      <c r="M56" s="4" t="inlineStr"/>
      <c r="N56" s="4" t="inlineStr"/>
      <c r="O56" s="4" t="inlineStr"/>
      <c r="P56" s="4" t="inlineStr"/>
      <c r="Q56">
        <f>IFERROR(L56/E56*1000,"")</f>
        <v/>
      </c>
      <c r="R56">
        <f>IFERROR(M56/E56*1000,"")</f>
        <v/>
      </c>
      <c r="S56">
        <f>IFERROR(N56/E56*1000,"")</f>
        <v/>
      </c>
      <c r="T56">
        <f>IFERROR(O56/N56*100,"")</f>
        <v/>
      </c>
      <c r="U56">
        <f>IFERROR(P56/N56*100,"")</f>
        <v/>
      </c>
      <c r="V56" t="inlineStr"/>
    </row>
    <row r="57">
      <c r="A57" t="inlineStr">
        <is>
          <t>WS-019</t>
        </is>
      </c>
      <c r="B57" t="inlineStr">
        <is>
          <t>2026-11-18</t>
        </is>
      </c>
      <c r="C57" t="inlineStr">
        <is>
          <t>72 h</t>
        </is>
      </c>
      <c r="D57" s="4" t="inlineStr"/>
      <c r="E57" s="4" t="inlineStr"/>
      <c r="F57" s="4" t="inlineStr"/>
      <c r="G57" s="4" t="inlineStr"/>
      <c r="H57" s="4" t="inlineStr"/>
      <c r="I57" s="4" t="inlineStr"/>
      <c r="J57" s="4" t="inlineStr"/>
      <c r="K57" s="4" t="inlineStr"/>
      <c r="L57" s="4" t="inlineStr"/>
      <c r="M57" s="4" t="inlineStr"/>
      <c r="N57" s="4" t="inlineStr"/>
      <c r="O57" s="4" t="inlineStr"/>
      <c r="P57" s="4" t="inlineStr"/>
      <c r="Q57">
        <f>IFERROR(L57/E57*1000,"")</f>
        <v/>
      </c>
      <c r="R57">
        <f>IFERROR(M57/E57*1000,"")</f>
        <v/>
      </c>
      <c r="S57">
        <f>IFERROR(N57/E57*1000,"")</f>
        <v/>
      </c>
      <c r="T57">
        <f>IFERROR(O57/N57*100,"")</f>
        <v/>
      </c>
      <c r="U57">
        <f>IFERROR(P57/N57*100,"")</f>
        <v/>
      </c>
      <c r="V57" t="inlineStr"/>
    </row>
    <row r="58">
      <c r="A58" t="inlineStr">
        <is>
          <t>WS-019</t>
        </is>
      </c>
      <c r="B58" t="inlineStr">
        <is>
          <t>2026-11-18</t>
        </is>
      </c>
      <c r="C58" t="inlineStr">
        <is>
          <t>7 d</t>
        </is>
      </c>
      <c r="D58" s="4" t="inlineStr"/>
      <c r="E58" s="4" t="inlineStr"/>
      <c r="F58" s="4" t="inlineStr"/>
      <c r="G58" s="4" t="inlineStr"/>
      <c r="H58" s="4" t="inlineStr"/>
      <c r="I58" s="4" t="inlineStr"/>
      <c r="J58" s="4" t="inlineStr"/>
      <c r="K58" s="4" t="inlineStr"/>
      <c r="L58" s="4" t="inlineStr"/>
      <c r="M58" s="4" t="inlineStr"/>
      <c r="N58" s="4" t="inlineStr"/>
      <c r="O58" s="4" t="inlineStr"/>
      <c r="P58" s="4" t="inlineStr"/>
      <c r="Q58">
        <f>IFERROR(L58/E58*1000,"")</f>
        <v/>
      </c>
      <c r="R58">
        <f>IFERROR(M58/E58*1000,"")</f>
        <v/>
      </c>
      <c r="S58">
        <f>IFERROR(N58/E58*1000,"")</f>
        <v/>
      </c>
      <c r="T58">
        <f>IFERROR(O58/N58*100,"")</f>
        <v/>
      </c>
      <c r="U58">
        <f>IFERROR(P58/N58*100,"")</f>
        <v/>
      </c>
      <c r="V58" t="inlineStr"/>
    </row>
    <row r="59">
      <c r="A59" t="inlineStr">
        <is>
          <t>WS-020</t>
        </is>
      </c>
      <c r="B59" t="inlineStr">
        <is>
          <t>2026-11-19</t>
        </is>
      </c>
      <c r="C59" t="inlineStr">
        <is>
          <t>24 h</t>
        </is>
      </c>
      <c r="D59" s="4" t="inlineStr"/>
      <c r="E59" s="4" t="inlineStr"/>
      <c r="F59" s="4" t="inlineStr"/>
      <c r="G59" s="4" t="inlineStr"/>
      <c r="H59" s="4" t="inlineStr"/>
      <c r="I59" s="4" t="inlineStr"/>
      <c r="J59" s="4" t="inlineStr"/>
      <c r="K59" s="4" t="inlineStr"/>
      <c r="L59" s="4" t="inlineStr"/>
      <c r="M59" s="4" t="inlineStr"/>
      <c r="N59" s="4" t="inlineStr"/>
      <c r="O59" s="4" t="inlineStr"/>
      <c r="P59" s="4" t="inlineStr"/>
      <c r="Q59">
        <f>IFERROR(L59/E59*1000,"")</f>
        <v/>
      </c>
      <c r="R59">
        <f>IFERROR(M59/E59*1000,"")</f>
        <v/>
      </c>
      <c r="S59">
        <f>IFERROR(N59/E59*1000,"")</f>
        <v/>
      </c>
      <c r="T59">
        <f>IFERROR(O59/N59*100,"")</f>
        <v/>
      </c>
      <c r="U59">
        <f>IFERROR(P59/N59*100,"")</f>
        <v/>
      </c>
      <c r="V59" t="inlineStr"/>
    </row>
    <row r="60">
      <c r="A60" t="inlineStr">
        <is>
          <t>WS-020</t>
        </is>
      </c>
      <c r="B60" t="inlineStr">
        <is>
          <t>2026-11-19</t>
        </is>
      </c>
      <c r="C60" t="inlineStr">
        <is>
          <t>72 h</t>
        </is>
      </c>
      <c r="D60" s="4" t="inlineStr"/>
      <c r="E60" s="4" t="inlineStr"/>
      <c r="F60" s="4" t="inlineStr"/>
      <c r="G60" s="4" t="inlineStr"/>
      <c r="H60" s="4" t="inlineStr"/>
      <c r="I60" s="4" t="inlineStr"/>
      <c r="J60" s="4" t="inlineStr"/>
      <c r="K60" s="4" t="inlineStr"/>
      <c r="L60" s="4" t="inlineStr"/>
      <c r="M60" s="4" t="inlineStr"/>
      <c r="N60" s="4" t="inlineStr"/>
      <c r="O60" s="4" t="inlineStr"/>
      <c r="P60" s="4" t="inlineStr"/>
      <c r="Q60">
        <f>IFERROR(L60/E60*1000,"")</f>
        <v/>
      </c>
      <c r="R60">
        <f>IFERROR(M60/E60*1000,"")</f>
        <v/>
      </c>
      <c r="S60">
        <f>IFERROR(N60/E60*1000,"")</f>
        <v/>
      </c>
      <c r="T60">
        <f>IFERROR(O60/N60*100,"")</f>
        <v/>
      </c>
      <c r="U60">
        <f>IFERROR(P60/N60*100,"")</f>
        <v/>
      </c>
      <c r="V60" t="inlineStr"/>
    </row>
    <row r="61">
      <c r="A61" t="inlineStr">
        <is>
          <t>WS-020</t>
        </is>
      </c>
      <c r="B61" t="inlineStr">
        <is>
          <t>2026-11-19</t>
        </is>
      </c>
      <c r="C61" t="inlineStr">
        <is>
          <t>7 d</t>
        </is>
      </c>
      <c r="D61" s="4" t="inlineStr"/>
      <c r="E61" s="4" t="inlineStr"/>
      <c r="F61" s="4" t="inlineStr"/>
      <c r="G61" s="4" t="inlineStr"/>
      <c r="H61" s="4" t="inlineStr"/>
      <c r="I61" s="4" t="inlineStr"/>
      <c r="J61" s="4" t="inlineStr"/>
      <c r="K61" s="4" t="inlineStr"/>
      <c r="L61" s="4" t="inlineStr"/>
      <c r="M61" s="4" t="inlineStr"/>
      <c r="N61" s="4" t="inlineStr"/>
      <c r="O61" s="4" t="inlineStr"/>
      <c r="P61" s="4" t="inlineStr"/>
      <c r="Q61">
        <f>IFERROR(L61/E61*1000,"")</f>
        <v/>
      </c>
      <c r="R61">
        <f>IFERROR(M61/E61*1000,"")</f>
        <v/>
      </c>
      <c r="S61">
        <f>IFERROR(N61/E61*1000,"")</f>
        <v/>
      </c>
      <c r="T61">
        <f>IFERROR(O61/N61*100,"")</f>
        <v/>
      </c>
      <c r="U61">
        <f>IFERROR(P61/N61*100,"")</f>
        <v/>
      </c>
      <c r="V61" t="inlineStr"/>
    </row>
    <row r="62">
      <c r="A62" t="inlineStr">
        <is>
          <t>WS-021</t>
        </is>
      </c>
      <c r="B62" t="inlineStr">
        <is>
          <t>2026-11-20</t>
        </is>
      </c>
      <c r="C62" t="inlineStr">
        <is>
          <t>24 h</t>
        </is>
      </c>
      <c r="D62" s="4" t="inlineStr"/>
      <c r="E62" s="4" t="inlineStr"/>
      <c r="F62" s="4" t="inlineStr"/>
      <c r="G62" s="4" t="inlineStr"/>
      <c r="H62" s="4" t="inlineStr"/>
      <c r="I62" s="4" t="inlineStr"/>
      <c r="J62" s="4" t="inlineStr"/>
      <c r="K62" s="4" t="inlineStr"/>
      <c r="L62" s="4" t="inlineStr"/>
      <c r="M62" s="4" t="inlineStr"/>
      <c r="N62" s="4" t="inlineStr"/>
      <c r="O62" s="4" t="inlineStr"/>
      <c r="P62" s="4" t="inlineStr"/>
      <c r="Q62">
        <f>IFERROR(L62/E62*1000,"")</f>
        <v/>
      </c>
      <c r="R62">
        <f>IFERROR(M62/E62*1000,"")</f>
        <v/>
      </c>
      <c r="S62">
        <f>IFERROR(N62/E62*1000,"")</f>
        <v/>
      </c>
      <c r="T62">
        <f>IFERROR(O62/N62*100,"")</f>
        <v/>
      </c>
      <c r="U62">
        <f>IFERROR(P62/N62*100,"")</f>
        <v/>
      </c>
      <c r="V62" t="inlineStr"/>
    </row>
    <row r="63">
      <c r="A63" t="inlineStr">
        <is>
          <t>WS-021</t>
        </is>
      </c>
      <c r="B63" t="inlineStr">
        <is>
          <t>2026-11-20</t>
        </is>
      </c>
      <c r="C63" t="inlineStr">
        <is>
          <t>72 h</t>
        </is>
      </c>
      <c r="D63" s="4" t="inlineStr"/>
      <c r="E63" s="4" t="inlineStr"/>
      <c r="F63" s="4" t="inlineStr"/>
      <c r="G63" s="4" t="inlineStr"/>
      <c r="H63" s="4" t="inlineStr"/>
      <c r="I63" s="4" t="inlineStr"/>
      <c r="J63" s="4" t="inlineStr"/>
      <c r="K63" s="4" t="inlineStr"/>
      <c r="L63" s="4" t="inlineStr"/>
      <c r="M63" s="4" t="inlineStr"/>
      <c r="N63" s="4" t="inlineStr"/>
      <c r="O63" s="4" t="inlineStr"/>
      <c r="P63" s="4" t="inlineStr"/>
      <c r="Q63">
        <f>IFERROR(L63/E63*1000,"")</f>
        <v/>
      </c>
      <c r="R63">
        <f>IFERROR(M63/E63*1000,"")</f>
        <v/>
      </c>
      <c r="S63">
        <f>IFERROR(N63/E63*1000,"")</f>
        <v/>
      </c>
      <c r="T63">
        <f>IFERROR(O63/N63*100,"")</f>
        <v/>
      </c>
      <c r="U63">
        <f>IFERROR(P63/N63*100,"")</f>
        <v/>
      </c>
      <c r="V63" t="inlineStr"/>
    </row>
    <row r="64">
      <c r="A64" t="inlineStr">
        <is>
          <t>WS-021</t>
        </is>
      </c>
      <c r="B64" t="inlineStr">
        <is>
          <t>2026-11-20</t>
        </is>
      </c>
      <c r="C64" t="inlineStr">
        <is>
          <t>7 d</t>
        </is>
      </c>
      <c r="D64" s="4" t="inlineStr"/>
      <c r="E64" s="4" t="inlineStr"/>
      <c r="F64" s="4" t="inlineStr"/>
      <c r="G64" s="4" t="inlineStr"/>
      <c r="H64" s="4" t="inlineStr"/>
      <c r="I64" s="4" t="inlineStr"/>
      <c r="J64" s="4" t="inlineStr"/>
      <c r="K64" s="4" t="inlineStr"/>
      <c r="L64" s="4" t="inlineStr"/>
      <c r="M64" s="4" t="inlineStr"/>
      <c r="N64" s="4" t="inlineStr"/>
      <c r="O64" s="4" t="inlineStr"/>
      <c r="P64" s="4" t="inlineStr"/>
      <c r="Q64">
        <f>IFERROR(L64/E64*1000,"")</f>
        <v/>
      </c>
      <c r="R64">
        <f>IFERROR(M64/E64*1000,"")</f>
        <v/>
      </c>
      <c r="S64">
        <f>IFERROR(N64/E64*1000,"")</f>
        <v/>
      </c>
      <c r="T64">
        <f>IFERROR(O64/N64*100,"")</f>
        <v/>
      </c>
      <c r="U64">
        <f>IFERROR(P64/N64*100,"")</f>
        <v/>
      </c>
      <c r="V64" t="inlineStr"/>
    </row>
    <row r="65">
      <c r="A65" t="inlineStr">
        <is>
          <t>WS-022</t>
        </is>
      </c>
      <c r="B65" t="inlineStr">
        <is>
          <t>2026-11-21</t>
        </is>
      </c>
      <c r="C65" t="inlineStr">
        <is>
          <t>24 h</t>
        </is>
      </c>
      <c r="D65" s="4" t="inlineStr"/>
      <c r="E65" s="4" t="inlineStr"/>
      <c r="F65" s="4" t="inlineStr"/>
      <c r="G65" s="4" t="inlineStr"/>
      <c r="H65" s="4" t="inlineStr"/>
      <c r="I65" s="4" t="inlineStr"/>
      <c r="J65" s="4" t="inlineStr"/>
      <c r="K65" s="4" t="inlineStr"/>
      <c r="L65" s="4" t="inlineStr"/>
      <c r="M65" s="4" t="inlineStr"/>
      <c r="N65" s="4" t="inlineStr"/>
      <c r="O65" s="4" t="inlineStr"/>
      <c r="P65" s="4" t="inlineStr"/>
      <c r="Q65">
        <f>IFERROR(L65/E65*1000,"")</f>
        <v/>
      </c>
      <c r="R65">
        <f>IFERROR(M65/E65*1000,"")</f>
        <v/>
      </c>
      <c r="S65">
        <f>IFERROR(N65/E65*1000,"")</f>
        <v/>
      </c>
      <c r="T65">
        <f>IFERROR(O65/N65*100,"")</f>
        <v/>
      </c>
      <c r="U65">
        <f>IFERROR(P65/N65*100,"")</f>
        <v/>
      </c>
      <c r="V65" t="inlineStr"/>
    </row>
    <row r="66">
      <c r="A66" t="inlineStr">
        <is>
          <t>WS-022</t>
        </is>
      </c>
      <c r="B66" t="inlineStr">
        <is>
          <t>2026-11-21</t>
        </is>
      </c>
      <c r="C66" t="inlineStr">
        <is>
          <t>72 h</t>
        </is>
      </c>
      <c r="D66" s="4" t="inlineStr"/>
      <c r="E66" s="4" t="inlineStr"/>
      <c r="F66" s="4" t="inlineStr"/>
      <c r="G66" s="4" t="inlineStr"/>
      <c r="H66" s="4" t="inlineStr"/>
      <c r="I66" s="4" t="inlineStr"/>
      <c r="J66" s="4" t="inlineStr"/>
      <c r="K66" s="4" t="inlineStr"/>
      <c r="L66" s="4" t="inlineStr"/>
      <c r="M66" s="4" t="inlineStr"/>
      <c r="N66" s="4" t="inlineStr"/>
      <c r="O66" s="4" t="inlineStr"/>
      <c r="P66" s="4" t="inlineStr"/>
      <c r="Q66">
        <f>IFERROR(L66/E66*1000,"")</f>
        <v/>
      </c>
      <c r="R66">
        <f>IFERROR(M66/E66*1000,"")</f>
        <v/>
      </c>
      <c r="S66">
        <f>IFERROR(N66/E66*1000,"")</f>
        <v/>
      </c>
      <c r="T66">
        <f>IFERROR(O66/N66*100,"")</f>
        <v/>
      </c>
      <c r="U66">
        <f>IFERROR(P66/N66*100,"")</f>
        <v/>
      </c>
      <c r="V66" t="inlineStr"/>
    </row>
    <row r="67">
      <c r="A67" t="inlineStr">
        <is>
          <t>WS-022</t>
        </is>
      </c>
      <c r="B67" t="inlineStr">
        <is>
          <t>2026-11-21</t>
        </is>
      </c>
      <c r="C67" t="inlineStr">
        <is>
          <t>7 d</t>
        </is>
      </c>
      <c r="D67" s="4" t="inlineStr"/>
      <c r="E67" s="4" t="inlineStr"/>
      <c r="F67" s="4" t="inlineStr"/>
      <c r="G67" s="4" t="inlineStr"/>
      <c r="H67" s="4" t="inlineStr"/>
      <c r="I67" s="4" t="inlineStr"/>
      <c r="J67" s="4" t="inlineStr"/>
      <c r="K67" s="4" t="inlineStr"/>
      <c r="L67" s="4" t="inlineStr"/>
      <c r="M67" s="4" t="inlineStr"/>
      <c r="N67" s="4" t="inlineStr"/>
      <c r="O67" s="4" t="inlineStr"/>
      <c r="P67" s="4" t="inlineStr"/>
      <c r="Q67">
        <f>IFERROR(L67/E67*1000,"")</f>
        <v/>
      </c>
      <c r="R67">
        <f>IFERROR(M67/E67*1000,"")</f>
        <v/>
      </c>
      <c r="S67">
        <f>IFERROR(N67/E67*1000,"")</f>
        <v/>
      </c>
      <c r="T67">
        <f>IFERROR(O67/N67*100,"")</f>
        <v/>
      </c>
      <c r="U67">
        <f>IFERROR(P67/N67*100,"")</f>
        <v/>
      </c>
      <c r="V67" t="inlineStr"/>
    </row>
    <row r="68">
      <c r="A68" t="inlineStr">
        <is>
          <t>WS-023</t>
        </is>
      </c>
      <c r="B68" t="inlineStr">
        <is>
          <t>2026-11-22</t>
        </is>
      </c>
      <c r="C68" t="inlineStr">
        <is>
          <t>24 h</t>
        </is>
      </c>
      <c r="D68" s="4" t="inlineStr"/>
      <c r="E68" s="4" t="inlineStr"/>
      <c r="F68" s="4" t="inlineStr"/>
      <c r="G68" s="4" t="inlineStr"/>
      <c r="H68" s="4" t="inlineStr"/>
      <c r="I68" s="4" t="inlineStr"/>
      <c r="J68" s="4" t="inlineStr"/>
      <c r="K68" s="4" t="inlineStr"/>
      <c r="L68" s="4" t="inlineStr"/>
      <c r="M68" s="4" t="inlineStr"/>
      <c r="N68" s="4" t="inlineStr"/>
      <c r="O68" s="4" t="inlineStr"/>
      <c r="P68" s="4" t="inlineStr"/>
      <c r="Q68">
        <f>IFERROR(L68/E68*1000,"")</f>
        <v/>
      </c>
      <c r="R68">
        <f>IFERROR(M68/E68*1000,"")</f>
        <v/>
      </c>
      <c r="S68">
        <f>IFERROR(N68/E68*1000,"")</f>
        <v/>
      </c>
      <c r="T68">
        <f>IFERROR(O68/N68*100,"")</f>
        <v/>
      </c>
      <c r="U68">
        <f>IFERROR(P68/N68*100,"")</f>
        <v/>
      </c>
      <c r="V68" t="inlineStr"/>
    </row>
    <row r="69">
      <c r="A69" t="inlineStr">
        <is>
          <t>WS-023</t>
        </is>
      </c>
      <c r="B69" t="inlineStr">
        <is>
          <t>2026-11-22</t>
        </is>
      </c>
      <c r="C69" t="inlineStr">
        <is>
          <t>72 h</t>
        </is>
      </c>
      <c r="D69" s="4" t="inlineStr"/>
      <c r="E69" s="4" t="inlineStr"/>
      <c r="F69" s="4" t="inlineStr"/>
      <c r="G69" s="4" t="inlineStr"/>
      <c r="H69" s="4" t="inlineStr"/>
      <c r="I69" s="4" t="inlineStr"/>
      <c r="J69" s="4" t="inlineStr"/>
      <c r="K69" s="4" t="inlineStr"/>
      <c r="L69" s="4" t="inlineStr"/>
      <c r="M69" s="4" t="inlineStr"/>
      <c r="N69" s="4" t="inlineStr"/>
      <c r="O69" s="4" t="inlineStr"/>
      <c r="P69" s="4" t="inlineStr"/>
      <c r="Q69">
        <f>IFERROR(L69/E69*1000,"")</f>
        <v/>
      </c>
      <c r="R69">
        <f>IFERROR(M69/E69*1000,"")</f>
        <v/>
      </c>
      <c r="S69">
        <f>IFERROR(N69/E69*1000,"")</f>
        <v/>
      </c>
      <c r="T69">
        <f>IFERROR(O69/N69*100,"")</f>
        <v/>
      </c>
      <c r="U69">
        <f>IFERROR(P69/N69*100,"")</f>
        <v/>
      </c>
      <c r="V69" t="inlineStr"/>
    </row>
    <row r="70">
      <c r="A70" t="inlineStr">
        <is>
          <t>WS-023</t>
        </is>
      </c>
      <c r="B70" t="inlineStr">
        <is>
          <t>2026-11-22</t>
        </is>
      </c>
      <c r="C70" t="inlineStr">
        <is>
          <t>7 d</t>
        </is>
      </c>
      <c r="D70" s="4" t="inlineStr"/>
      <c r="E70" s="4" t="inlineStr"/>
      <c r="F70" s="4" t="inlineStr"/>
      <c r="G70" s="4" t="inlineStr"/>
      <c r="H70" s="4" t="inlineStr"/>
      <c r="I70" s="4" t="inlineStr"/>
      <c r="J70" s="4" t="inlineStr"/>
      <c r="K70" s="4" t="inlineStr"/>
      <c r="L70" s="4" t="inlineStr"/>
      <c r="M70" s="4" t="inlineStr"/>
      <c r="N70" s="4" t="inlineStr"/>
      <c r="O70" s="4" t="inlineStr"/>
      <c r="P70" s="4" t="inlineStr"/>
      <c r="Q70">
        <f>IFERROR(L70/E70*1000,"")</f>
        <v/>
      </c>
      <c r="R70">
        <f>IFERROR(M70/E70*1000,"")</f>
        <v/>
      </c>
      <c r="S70">
        <f>IFERROR(N70/E70*1000,"")</f>
        <v/>
      </c>
      <c r="T70">
        <f>IFERROR(O70/N70*100,"")</f>
        <v/>
      </c>
      <c r="U70">
        <f>IFERROR(P70/N70*100,"")</f>
        <v/>
      </c>
      <c r="V70" t="inlineStr"/>
    </row>
    <row r="71">
      <c r="A71" t="inlineStr">
        <is>
          <t>WS-024</t>
        </is>
      </c>
      <c r="B71" t="inlineStr">
        <is>
          <t>2026-11-23</t>
        </is>
      </c>
      <c r="C71" t="inlineStr">
        <is>
          <t>24 h</t>
        </is>
      </c>
      <c r="D71" s="4" t="inlineStr"/>
      <c r="E71" s="4" t="inlineStr"/>
      <c r="F71" s="4" t="inlineStr"/>
      <c r="G71" s="4" t="inlineStr"/>
      <c r="H71" s="4" t="inlineStr"/>
      <c r="I71" s="4" t="inlineStr"/>
      <c r="J71" s="4" t="inlineStr"/>
      <c r="K71" s="4" t="inlineStr"/>
      <c r="L71" s="4" t="inlineStr"/>
      <c r="M71" s="4" t="inlineStr"/>
      <c r="N71" s="4" t="inlineStr"/>
      <c r="O71" s="4" t="inlineStr"/>
      <c r="P71" s="4" t="inlineStr"/>
      <c r="Q71">
        <f>IFERROR(L71/E71*1000,"")</f>
        <v/>
      </c>
      <c r="R71">
        <f>IFERROR(M71/E71*1000,"")</f>
        <v/>
      </c>
      <c r="S71">
        <f>IFERROR(N71/E71*1000,"")</f>
        <v/>
      </c>
      <c r="T71">
        <f>IFERROR(O71/N71*100,"")</f>
        <v/>
      </c>
      <c r="U71">
        <f>IFERROR(P71/N71*100,"")</f>
        <v/>
      </c>
      <c r="V71" t="inlineStr"/>
    </row>
    <row r="72">
      <c r="A72" t="inlineStr">
        <is>
          <t>WS-024</t>
        </is>
      </c>
      <c r="B72" t="inlineStr">
        <is>
          <t>2026-11-23</t>
        </is>
      </c>
      <c r="C72" t="inlineStr">
        <is>
          <t>72 h</t>
        </is>
      </c>
      <c r="D72" s="4" t="inlineStr"/>
      <c r="E72" s="4" t="inlineStr"/>
      <c r="F72" s="4" t="inlineStr"/>
      <c r="G72" s="4" t="inlineStr"/>
      <c r="H72" s="4" t="inlineStr"/>
      <c r="I72" s="4" t="inlineStr"/>
      <c r="J72" s="4" t="inlineStr"/>
      <c r="K72" s="4" t="inlineStr"/>
      <c r="L72" s="4" t="inlineStr"/>
      <c r="M72" s="4" t="inlineStr"/>
      <c r="N72" s="4" t="inlineStr"/>
      <c r="O72" s="4" t="inlineStr"/>
      <c r="P72" s="4" t="inlineStr"/>
      <c r="Q72">
        <f>IFERROR(L72/E72*1000,"")</f>
        <v/>
      </c>
      <c r="R72">
        <f>IFERROR(M72/E72*1000,"")</f>
        <v/>
      </c>
      <c r="S72">
        <f>IFERROR(N72/E72*1000,"")</f>
        <v/>
      </c>
      <c r="T72">
        <f>IFERROR(O72/N72*100,"")</f>
        <v/>
      </c>
      <c r="U72">
        <f>IFERROR(P72/N72*100,"")</f>
        <v/>
      </c>
      <c r="V72" t="inlineStr"/>
    </row>
    <row r="73">
      <c r="A73" t="inlineStr">
        <is>
          <t>WS-024</t>
        </is>
      </c>
      <c r="B73" t="inlineStr">
        <is>
          <t>2026-11-23</t>
        </is>
      </c>
      <c r="C73" t="inlineStr">
        <is>
          <t>7 d</t>
        </is>
      </c>
      <c r="D73" s="4" t="inlineStr"/>
      <c r="E73" s="4" t="inlineStr"/>
      <c r="F73" s="4" t="inlineStr"/>
      <c r="G73" s="4" t="inlineStr"/>
      <c r="H73" s="4" t="inlineStr"/>
      <c r="I73" s="4" t="inlineStr"/>
      <c r="J73" s="4" t="inlineStr"/>
      <c r="K73" s="4" t="inlineStr"/>
      <c r="L73" s="4" t="inlineStr"/>
      <c r="M73" s="4" t="inlineStr"/>
      <c r="N73" s="4" t="inlineStr"/>
      <c r="O73" s="4" t="inlineStr"/>
      <c r="P73" s="4" t="inlineStr"/>
      <c r="Q73">
        <f>IFERROR(L73/E73*1000,"")</f>
        <v/>
      </c>
      <c r="R73">
        <f>IFERROR(M73/E73*1000,"")</f>
        <v/>
      </c>
      <c r="S73">
        <f>IFERROR(N73/E73*1000,"")</f>
        <v/>
      </c>
      <c r="T73">
        <f>IFERROR(O73/N73*100,"")</f>
        <v/>
      </c>
      <c r="U73">
        <f>IFERROR(P73/N73*100,"")</f>
        <v/>
      </c>
      <c r="V73" t="inlineStr"/>
    </row>
    <row r="74">
      <c r="A74" t="inlineStr">
        <is>
          <t>WS-025</t>
        </is>
      </c>
      <c r="B74" t="inlineStr">
        <is>
          <t>2026-11-24</t>
        </is>
      </c>
      <c r="C74" t="inlineStr">
        <is>
          <t>24 h</t>
        </is>
      </c>
      <c r="D74" s="4" t="inlineStr"/>
      <c r="E74" s="4" t="inlineStr"/>
      <c r="F74" s="4" t="inlineStr"/>
      <c r="G74" s="4" t="inlineStr"/>
      <c r="H74" s="4" t="inlineStr"/>
      <c r="I74" s="4" t="inlineStr"/>
      <c r="J74" s="4" t="inlineStr"/>
      <c r="K74" s="4" t="inlineStr"/>
      <c r="L74" s="4" t="inlineStr"/>
      <c r="M74" s="4" t="inlineStr"/>
      <c r="N74" s="4" t="inlineStr"/>
      <c r="O74" s="4" t="inlineStr"/>
      <c r="P74" s="4" t="inlineStr"/>
      <c r="Q74">
        <f>IFERROR(L74/E74*1000,"")</f>
        <v/>
      </c>
      <c r="R74">
        <f>IFERROR(M74/E74*1000,"")</f>
        <v/>
      </c>
      <c r="S74">
        <f>IFERROR(N74/E74*1000,"")</f>
        <v/>
      </c>
      <c r="T74">
        <f>IFERROR(O74/N74*100,"")</f>
        <v/>
      </c>
      <c r="U74">
        <f>IFERROR(P74/N74*100,"")</f>
        <v/>
      </c>
      <c r="V74" t="inlineStr"/>
    </row>
    <row r="75">
      <c r="A75" t="inlineStr">
        <is>
          <t>WS-025</t>
        </is>
      </c>
      <c r="B75" t="inlineStr">
        <is>
          <t>2026-11-24</t>
        </is>
      </c>
      <c r="C75" t="inlineStr">
        <is>
          <t>72 h</t>
        </is>
      </c>
      <c r="D75" s="4" t="inlineStr"/>
      <c r="E75" s="4" t="inlineStr"/>
      <c r="F75" s="4" t="inlineStr"/>
      <c r="G75" s="4" t="inlineStr"/>
      <c r="H75" s="4" t="inlineStr"/>
      <c r="I75" s="4" t="inlineStr"/>
      <c r="J75" s="4" t="inlineStr"/>
      <c r="K75" s="4" t="inlineStr"/>
      <c r="L75" s="4" t="inlineStr"/>
      <c r="M75" s="4" t="inlineStr"/>
      <c r="N75" s="4" t="inlineStr"/>
      <c r="O75" s="4" t="inlineStr"/>
      <c r="P75" s="4" t="inlineStr"/>
      <c r="Q75">
        <f>IFERROR(L75/E75*1000,"")</f>
        <v/>
      </c>
      <c r="R75">
        <f>IFERROR(M75/E75*1000,"")</f>
        <v/>
      </c>
      <c r="S75">
        <f>IFERROR(N75/E75*1000,"")</f>
        <v/>
      </c>
      <c r="T75">
        <f>IFERROR(O75/N75*100,"")</f>
        <v/>
      </c>
      <c r="U75">
        <f>IFERROR(P75/N75*100,"")</f>
        <v/>
      </c>
      <c r="V75" t="inlineStr"/>
    </row>
    <row r="76">
      <c r="A76" t="inlineStr">
        <is>
          <t>WS-025</t>
        </is>
      </c>
      <c r="B76" t="inlineStr">
        <is>
          <t>2026-11-24</t>
        </is>
      </c>
      <c r="C76" t="inlineStr">
        <is>
          <t>7 d</t>
        </is>
      </c>
      <c r="D76" s="4" t="inlineStr"/>
      <c r="E76" s="4" t="inlineStr"/>
      <c r="F76" s="4" t="inlineStr"/>
      <c r="G76" s="4" t="inlineStr"/>
      <c r="H76" s="4" t="inlineStr"/>
      <c r="I76" s="4" t="inlineStr"/>
      <c r="J76" s="4" t="inlineStr"/>
      <c r="K76" s="4" t="inlineStr"/>
      <c r="L76" s="4" t="inlineStr"/>
      <c r="M76" s="4" t="inlineStr"/>
      <c r="N76" s="4" t="inlineStr"/>
      <c r="O76" s="4" t="inlineStr"/>
      <c r="P76" s="4" t="inlineStr"/>
      <c r="Q76">
        <f>IFERROR(L76/E76*1000,"")</f>
        <v/>
      </c>
      <c r="R76">
        <f>IFERROR(M76/E76*1000,"")</f>
        <v/>
      </c>
      <c r="S76">
        <f>IFERROR(N76/E76*1000,"")</f>
        <v/>
      </c>
      <c r="T76">
        <f>IFERROR(O76/N76*100,"")</f>
        <v/>
      </c>
      <c r="U76">
        <f>IFERROR(P76/N76*100,"")</f>
        <v/>
      </c>
      <c r="V76" t="inlineStr"/>
    </row>
    <row r="77">
      <c r="A77" t="inlineStr">
        <is>
          <t>WS-026</t>
        </is>
      </c>
      <c r="B77" t="inlineStr">
        <is>
          <t>2026-11-25</t>
        </is>
      </c>
      <c r="C77" t="inlineStr">
        <is>
          <t>24 h</t>
        </is>
      </c>
      <c r="D77" s="4" t="inlineStr"/>
      <c r="E77" s="4" t="inlineStr"/>
      <c r="F77" s="4" t="inlineStr"/>
      <c r="G77" s="4" t="inlineStr"/>
      <c r="H77" s="4" t="inlineStr"/>
      <c r="I77" s="4" t="inlineStr"/>
      <c r="J77" s="4" t="inlineStr"/>
      <c r="K77" s="4" t="inlineStr"/>
      <c r="L77" s="4" t="inlineStr"/>
      <c r="M77" s="4" t="inlineStr"/>
      <c r="N77" s="4" t="inlineStr"/>
      <c r="O77" s="4" t="inlineStr"/>
      <c r="P77" s="4" t="inlineStr"/>
      <c r="Q77">
        <f>IFERROR(L77/E77*1000,"")</f>
        <v/>
      </c>
      <c r="R77">
        <f>IFERROR(M77/E77*1000,"")</f>
        <v/>
      </c>
      <c r="S77">
        <f>IFERROR(N77/E77*1000,"")</f>
        <v/>
      </c>
      <c r="T77">
        <f>IFERROR(O77/N77*100,"")</f>
        <v/>
      </c>
      <c r="U77">
        <f>IFERROR(P77/N77*100,"")</f>
        <v/>
      </c>
      <c r="V77" t="inlineStr"/>
    </row>
    <row r="78">
      <c r="A78" t="inlineStr">
        <is>
          <t>WS-026</t>
        </is>
      </c>
      <c r="B78" t="inlineStr">
        <is>
          <t>2026-11-25</t>
        </is>
      </c>
      <c r="C78" t="inlineStr">
        <is>
          <t>72 h</t>
        </is>
      </c>
      <c r="D78" s="4" t="inlineStr"/>
      <c r="E78" s="4" t="inlineStr"/>
      <c r="F78" s="4" t="inlineStr"/>
      <c r="G78" s="4" t="inlineStr"/>
      <c r="H78" s="4" t="inlineStr"/>
      <c r="I78" s="4" t="inlineStr"/>
      <c r="J78" s="4" t="inlineStr"/>
      <c r="K78" s="4" t="inlineStr"/>
      <c r="L78" s="4" t="inlineStr"/>
      <c r="M78" s="4" t="inlineStr"/>
      <c r="N78" s="4" t="inlineStr"/>
      <c r="O78" s="4" t="inlineStr"/>
      <c r="P78" s="4" t="inlineStr"/>
      <c r="Q78">
        <f>IFERROR(L78/E78*1000,"")</f>
        <v/>
      </c>
      <c r="R78">
        <f>IFERROR(M78/E78*1000,"")</f>
        <v/>
      </c>
      <c r="S78">
        <f>IFERROR(N78/E78*1000,"")</f>
        <v/>
      </c>
      <c r="T78">
        <f>IFERROR(O78/N78*100,"")</f>
        <v/>
      </c>
      <c r="U78">
        <f>IFERROR(P78/N78*100,"")</f>
        <v/>
      </c>
      <c r="V78" t="inlineStr"/>
    </row>
    <row r="79">
      <c r="A79" t="inlineStr">
        <is>
          <t>WS-026</t>
        </is>
      </c>
      <c r="B79" t="inlineStr">
        <is>
          <t>2026-11-25</t>
        </is>
      </c>
      <c r="C79" t="inlineStr">
        <is>
          <t>7 d</t>
        </is>
      </c>
      <c r="D79" s="4" t="inlineStr"/>
      <c r="E79" s="4" t="inlineStr"/>
      <c r="F79" s="4" t="inlineStr"/>
      <c r="G79" s="4" t="inlineStr"/>
      <c r="H79" s="4" t="inlineStr"/>
      <c r="I79" s="4" t="inlineStr"/>
      <c r="J79" s="4" t="inlineStr"/>
      <c r="K79" s="4" t="inlineStr"/>
      <c r="L79" s="4" t="inlineStr"/>
      <c r="M79" s="4" t="inlineStr"/>
      <c r="N79" s="4" t="inlineStr"/>
      <c r="O79" s="4" t="inlineStr"/>
      <c r="P79" s="4" t="inlineStr"/>
      <c r="Q79">
        <f>IFERROR(L79/E79*1000,"")</f>
        <v/>
      </c>
      <c r="R79">
        <f>IFERROR(M79/E79*1000,"")</f>
        <v/>
      </c>
      <c r="S79">
        <f>IFERROR(N79/E79*1000,"")</f>
        <v/>
      </c>
      <c r="T79">
        <f>IFERROR(O79/N79*100,"")</f>
        <v/>
      </c>
      <c r="U79">
        <f>IFERROR(P79/N79*100,"")</f>
        <v/>
      </c>
      <c r="V79" t="inlineStr"/>
    </row>
    <row r="80">
      <c r="A80" t="inlineStr">
        <is>
          <t>WS-027</t>
        </is>
      </c>
      <c r="B80" t="inlineStr">
        <is>
          <t>2026-11-26</t>
        </is>
      </c>
      <c r="C80" t="inlineStr">
        <is>
          <t>24 h</t>
        </is>
      </c>
      <c r="D80" s="4" t="inlineStr"/>
      <c r="E80" s="4" t="inlineStr"/>
      <c r="F80" s="4" t="inlineStr"/>
      <c r="G80" s="4" t="inlineStr"/>
      <c r="H80" s="4" t="inlineStr"/>
      <c r="I80" s="4" t="inlineStr"/>
      <c r="J80" s="4" t="inlineStr"/>
      <c r="K80" s="4" t="inlineStr"/>
      <c r="L80" s="4" t="inlineStr"/>
      <c r="M80" s="4" t="inlineStr"/>
      <c r="N80" s="4" t="inlineStr"/>
      <c r="O80" s="4" t="inlineStr"/>
      <c r="P80" s="4" t="inlineStr"/>
      <c r="Q80">
        <f>IFERROR(L80/E80*1000,"")</f>
        <v/>
      </c>
      <c r="R80">
        <f>IFERROR(M80/E80*1000,"")</f>
        <v/>
      </c>
      <c r="S80">
        <f>IFERROR(N80/E80*1000,"")</f>
        <v/>
      </c>
      <c r="T80">
        <f>IFERROR(O80/N80*100,"")</f>
        <v/>
      </c>
      <c r="U80">
        <f>IFERROR(P80/N80*100,"")</f>
        <v/>
      </c>
      <c r="V80" t="inlineStr"/>
    </row>
    <row r="81">
      <c r="A81" t="inlineStr">
        <is>
          <t>WS-027</t>
        </is>
      </c>
      <c r="B81" t="inlineStr">
        <is>
          <t>2026-11-26</t>
        </is>
      </c>
      <c r="C81" t="inlineStr">
        <is>
          <t>72 h</t>
        </is>
      </c>
      <c r="D81" s="4" t="inlineStr"/>
      <c r="E81" s="4" t="inlineStr"/>
      <c r="F81" s="4" t="inlineStr"/>
      <c r="G81" s="4" t="inlineStr"/>
      <c r="H81" s="4" t="inlineStr"/>
      <c r="I81" s="4" t="inlineStr"/>
      <c r="J81" s="4" t="inlineStr"/>
      <c r="K81" s="4" t="inlineStr"/>
      <c r="L81" s="4" t="inlineStr"/>
      <c r="M81" s="4" t="inlineStr"/>
      <c r="N81" s="4" t="inlineStr"/>
      <c r="O81" s="4" t="inlineStr"/>
      <c r="P81" s="4" t="inlineStr"/>
      <c r="Q81">
        <f>IFERROR(L81/E81*1000,"")</f>
        <v/>
      </c>
      <c r="R81">
        <f>IFERROR(M81/E81*1000,"")</f>
        <v/>
      </c>
      <c r="S81">
        <f>IFERROR(N81/E81*1000,"")</f>
        <v/>
      </c>
      <c r="T81">
        <f>IFERROR(O81/N81*100,"")</f>
        <v/>
      </c>
      <c r="U81">
        <f>IFERROR(P81/N81*100,"")</f>
        <v/>
      </c>
      <c r="V81" t="inlineStr"/>
    </row>
    <row r="82">
      <c r="A82" t="inlineStr">
        <is>
          <t>WS-027</t>
        </is>
      </c>
      <c r="B82" t="inlineStr">
        <is>
          <t>2026-11-26</t>
        </is>
      </c>
      <c r="C82" t="inlineStr">
        <is>
          <t>7 d</t>
        </is>
      </c>
      <c r="D82" s="4" t="inlineStr"/>
      <c r="E82" s="4" t="inlineStr"/>
      <c r="F82" s="4" t="inlineStr"/>
      <c r="G82" s="4" t="inlineStr"/>
      <c r="H82" s="4" t="inlineStr"/>
      <c r="I82" s="4" t="inlineStr"/>
      <c r="J82" s="4" t="inlineStr"/>
      <c r="K82" s="4" t="inlineStr"/>
      <c r="L82" s="4" t="inlineStr"/>
      <c r="M82" s="4" t="inlineStr"/>
      <c r="N82" s="4" t="inlineStr"/>
      <c r="O82" s="4" t="inlineStr"/>
      <c r="P82" s="4" t="inlineStr"/>
      <c r="Q82">
        <f>IFERROR(L82/E82*1000,"")</f>
        <v/>
      </c>
      <c r="R82">
        <f>IFERROR(M82/E82*1000,"")</f>
        <v/>
      </c>
      <c r="S82">
        <f>IFERROR(N82/E82*1000,"")</f>
        <v/>
      </c>
      <c r="T82">
        <f>IFERROR(O82/N82*100,"")</f>
        <v/>
      </c>
      <c r="U82">
        <f>IFERROR(P82/N82*100,"")</f>
        <v/>
      </c>
      <c r="V82" t="inlineStr"/>
    </row>
    <row r="83">
      <c r="A83" t="inlineStr">
        <is>
          <t>WS-028</t>
        </is>
      </c>
      <c r="B83" t="inlineStr">
        <is>
          <t>2026-11-27</t>
        </is>
      </c>
      <c r="C83" t="inlineStr">
        <is>
          <t>24 h</t>
        </is>
      </c>
      <c r="D83" s="4" t="inlineStr"/>
      <c r="E83" s="4" t="inlineStr"/>
      <c r="F83" s="4" t="inlineStr"/>
      <c r="G83" s="4" t="inlineStr"/>
      <c r="H83" s="4" t="inlineStr"/>
      <c r="I83" s="4" t="inlineStr"/>
      <c r="J83" s="4" t="inlineStr"/>
      <c r="K83" s="4" t="inlineStr"/>
      <c r="L83" s="4" t="inlineStr"/>
      <c r="M83" s="4" t="inlineStr"/>
      <c r="N83" s="4" t="inlineStr"/>
      <c r="O83" s="4" t="inlineStr"/>
      <c r="P83" s="4" t="inlineStr"/>
      <c r="Q83">
        <f>IFERROR(L83/E83*1000,"")</f>
        <v/>
      </c>
      <c r="R83">
        <f>IFERROR(M83/E83*1000,"")</f>
        <v/>
      </c>
      <c r="S83">
        <f>IFERROR(N83/E83*1000,"")</f>
        <v/>
      </c>
      <c r="T83">
        <f>IFERROR(O83/N83*100,"")</f>
        <v/>
      </c>
      <c r="U83">
        <f>IFERROR(P83/N83*100,"")</f>
        <v/>
      </c>
      <c r="V83" t="inlineStr"/>
    </row>
    <row r="84">
      <c r="A84" t="inlineStr">
        <is>
          <t>WS-028</t>
        </is>
      </c>
      <c r="B84" t="inlineStr">
        <is>
          <t>2026-11-27</t>
        </is>
      </c>
      <c r="C84" t="inlineStr">
        <is>
          <t>72 h</t>
        </is>
      </c>
      <c r="D84" s="4" t="inlineStr"/>
      <c r="E84" s="4" t="inlineStr"/>
      <c r="F84" s="4" t="inlineStr"/>
      <c r="G84" s="4" t="inlineStr"/>
      <c r="H84" s="4" t="inlineStr"/>
      <c r="I84" s="4" t="inlineStr"/>
      <c r="J84" s="4" t="inlineStr"/>
      <c r="K84" s="4" t="inlineStr"/>
      <c r="L84" s="4" t="inlineStr"/>
      <c r="M84" s="4" t="inlineStr"/>
      <c r="N84" s="4" t="inlineStr"/>
      <c r="O84" s="4" t="inlineStr"/>
      <c r="P84" s="4" t="inlineStr"/>
      <c r="Q84">
        <f>IFERROR(L84/E84*1000,"")</f>
        <v/>
      </c>
      <c r="R84">
        <f>IFERROR(M84/E84*1000,"")</f>
        <v/>
      </c>
      <c r="S84">
        <f>IFERROR(N84/E84*1000,"")</f>
        <v/>
      </c>
      <c r="T84">
        <f>IFERROR(O84/N84*100,"")</f>
        <v/>
      </c>
      <c r="U84">
        <f>IFERROR(P84/N84*100,"")</f>
        <v/>
      </c>
      <c r="V84" t="inlineStr"/>
    </row>
    <row r="85">
      <c r="A85" t="inlineStr">
        <is>
          <t>WS-028</t>
        </is>
      </c>
      <c r="B85" t="inlineStr">
        <is>
          <t>2026-11-27</t>
        </is>
      </c>
      <c r="C85" t="inlineStr">
        <is>
          <t>7 d</t>
        </is>
      </c>
      <c r="D85" s="4" t="inlineStr"/>
      <c r="E85" s="4" t="inlineStr"/>
      <c r="F85" s="4" t="inlineStr"/>
      <c r="G85" s="4" t="inlineStr"/>
      <c r="H85" s="4" t="inlineStr"/>
      <c r="I85" s="4" t="inlineStr"/>
      <c r="J85" s="4" t="inlineStr"/>
      <c r="K85" s="4" t="inlineStr"/>
      <c r="L85" s="4" t="inlineStr"/>
      <c r="M85" s="4" t="inlineStr"/>
      <c r="N85" s="4" t="inlineStr"/>
      <c r="O85" s="4" t="inlineStr"/>
      <c r="P85" s="4" t="inlineStr"/>
      <c r="Q85">
        <f>IFERROR(L85/E85*1000,"")</f>
        <v/>
      </c>
      <c r="R85">
        <f>IFERROR(M85/E85*1000,"")</f>
        <v/>
      </c>
      <c r="S85">
        <f>IFERROR(N85/E85*1000,"")</f>
        <v/>
      </c>
      <c r="T85">
        <f>IFERROR(O85/N85*100,"")</f>
        <v/>
      </c>
      <c r="U85">
        <f>IFERROR(P85/N85*100,"")</f>
        <v/>
      </c>
      <c r="V85" t="inlineStr"/>
    </row>
    <row r="86">
      <c r="A86" t="inlineStr">
        <is>
          <t>WS-029</t>
        </is>
      </c>
      <c r="B86" t="inlineStr">
        <is>
          <t>2026-11-28</t>
        </is>
      </c>
      <c r="C86" t="inlineStr">
        <is>
          <t>24 h</t>
        </is>
      </c>
      <c r="D86" s="4" t="inlineStr"/>
      <c r="E86" s="4" t="inlineStr"/>
      <c r="F86" s="4" t="inlineStr"/>
      <c r="G86" s="4" t="inlineStr"/>
      <c r="H86" s="4" t="inlineStr"/>
      <c r="I86" s="4" t="inlineStr"/>
      <c r="J86" s="4" t="inlineStr"/>
      <c r="K86" s="4" t="inlineStr"/>
      <c r="L86" s="4" t="inlineStr"/>
      <c r="M86" s="4" t="inlineStr"/>
      <c r="N86" s="4" t="inlineStr"/>
      <c r="O86" s="4" t="inlineStr"/>
      <c r="P86" s="4" t="inlineStr"/>
      <c r="Q86">
        <f>IFERROR(L86/E86*1000,"")</f>
        <v/>
      </c>
      <c r="R86">
        <f>IFERROR(M86/E86*1000,"")</f>
        <v/>
      </c>
      <c r="S86">
        <f>IFERROR(N86/E86*1000,"")</f>
        <v/>
      </c>
      <c r="T86">
        <f>IFERROR(O86/N86*100,"")</f>
        <v/>
      </c>
      <c r="U86">
        <f>IFERROR(P86/N86*100,"")</f>
        <v/>
      </c>
      <c r="V86" t="inlineStr"/>
    </row>
    <row r="87">
      <c r="A87" t="inlineStr">
        <is>
          <t>WS-029</t>
        </is>
      </c>
      <c r="B87" t="inlineStr">
        <is>
          <t>2026-11-28</t>
        </is>
      </c>
      <c r="C87" t="inlineStr">
        <is>
          <t>72 h</t>
        </is>
      </c>
      <c r="D87" s="4" t="inlineStr"/>
      <c r="E87" s="4" t="inlineStr"/>
      <c r="F87" s="4" t="inlineStr"/>
      <c r="G87" s="4" t="inlineStr"/>
      <c r="H87" s="4" t="inlineStr"/>
      <c r="I87" s="4" t="inlineStr"/>
      <c r="J87" s="4" t="inlineStr"/>
      <c r="K87" s="4" t="inlineStr"/>
      <c r="L87" s="4" t="inlineStr"/>
      <c r="M87" s="4" t="inlineStr"/>
      <c r="N87" s="4" t="inlineStr"/>
      <c r="O87" s="4" t="inlineStr"/>
      <c r="P87" s="4" t="inlineStr"/>
      <c r="Q87">
        <f>IFERROR(L87/E87*1000,"")</f>
        <v/>
      </c>
      <c r="R87">
        <f>IFERROR(M87/E87*1000,"")</f>
        <v/>
      </c>
      <c r="S87">
        <f>IFERROR(N87/E87*1000,"")</f>
        <v/>
      </c>
      <c r="T87">
        <f>IFERROR(O87/N87*100,"")</f>
        <v/>
      </c>
      <c r="U87">
        <f>IFERROR(P87/N87*100,"")</f>
        <v/>
      </c>
      <c r="V87" t="inlineStr"/>
    </row>
    <row r="88">
      <c r="A88" t="inlineStr">
        <is>
          <t>WS-029</t>
        </is>
      </c>
      <c r="B88" t="inlineStr">
        <is>
          <t>2026-11-28</t>
        </is>
      </c>
      <c r="C88" t="inlineStr">
        <is>
          <t>7 d</t>
        </is>
      </c>
      <c r="D88" s="4" t="inlineStr"/>
      <c r="E88" s="4" t="inlineStr"/>
      <c r="F88" s="4" t="inlineStr"/>
      <c r="G88" s="4" t="inlineStr"/>
      <c r="H88" s="4" t="inlineStr"/>
      <c r="I88" s="4" t="inlineStr"/>
      <c r="J88" s="4" t="inlineStr"/>
      <c r="K88" s="4" t="inlineStr"/>
      <c r="L88" s="4" t="inlineStr"/>
      <c r="M88" s="4" t="inlineStr"/>
      <c r="N88" s="4" t="inlineStr"/>
      <c r="O88" s="4" t="inlineStr"/>
      <c r="P88" s="4" t="inlineStr"/>
      <c r="Q88">
        <f>IFERROR(L88/E88*1000,"")</f>
        <v/>
      </c>
      <c r="R88">
        <f>IFERROR(M88/E88*1000,"")</f>
        <v/>
      </c>
      <c r="S88">
        <f>IFERROR(N88/E88*1000,"")</f>
        <v/>
      </c>
      <c r="T88">
        <f>IFERROR(O88/N88*100,"")</f>
        <v/>
      </c>
      <c r="U88">
        <f>IFERROR(P88/N88*100,"")</f>
        <v/>
      </c>
      <c r="V88" t="inlineStr"/>
    </row>
    <row r="89">
      <c r="A89" t="inlineStr">
        <is>
          <t>WS-030</t>
        </is>
      </c>
      <c r="B89" t="inlineStr">
        <is>
          <t>2026-11-29</t>
        </is>
      </c>
      <c r="C89" t="inlineStr">
        <is>
          <t>24 h</t>
        </is>
      </c>
      <c r="D89" s="4" t="inlineStr"/>
      <c r="E89" s="4" t="inlineStr"/>
      <c r="F89" s="4" t="inlineStr"/>
      <c r="G89" s="4" t="inlineStr"/>
      <c r="H89" s="4" t="inlineStr"/>
      <c r="I89" s="4" t="inlineStr"/>
      <c r="J89" s="4" t="inlineStr"/>
      <c r="K89" s="4" t="inlineStr"/>
      <c r="L89" s="4" t="inlineStr"/>
      <c r="M89" s="4" t="inlineStr"/>
      <c r="N89" s="4" t="inlineStr"/>
      <c r="O89" s="4" t="inlineStr"/>
      <c r="P89" s="4" t="inlineStr"/>
      <c r="Q89">
        <f>IFERROR(L89/E89*1000,"")</f>
        <v/>
      </c>
      <c r="R89">
        <f>IFERROR(M89/E89*1000,"")</f>
        <v/>
      </c>
      <c r="S89">
        <f>IFERROR(N89/E89*1000,"")</f>
        <v/>
      </c>
      <c r="T89">
        <f>IFERROR(O89/N89*100,"")</f>
        <v/>
      </c>
      <c r="U89">
        <f>IFERROR(P89/N89*100,"")</f>
        <v/>
      </c>
      <c r="V89" t="inlineStr"/>
    </row>
    <row r="90">
      <c r="A90" t="inlineStr">
        <is>
          <t>WS-030</t>
        </is>
      </c>
      <c r="B90" t="inlineStr">
        <is>
          <t>2026-11-29</t>
        </is>
      </c>
      <c r="C90" t="inlineStr">
        <is>
          <t>72 h</t>
        </is>
      </c>
      <c r="D90" s="4" t="inlineStr"/>
      <c r="E90" s="4" t="inlineStr"/>
      <c r="F90" s="4" t="inlineStr"/>
      <c r="G90" s="4" t="inlineStr"/>
      <c r="H90" s="4" t="inlineStr"/>
      <c r="I90" s="4" t="inlineStr"/>
      <c r="J90" s="4" t="inlineStr"/>
      <c r="K90" s="4" t="inlineStr"/>
      <c r="L90" s="4" t="inlineStr"/>
      <c r="M90" s="4" t="inlineStr"/>
      <c r="N90" s="4" t="inlineStr"/>
      <c r="O90" s="4" t="inlineStr"/>
      <c r="P90" s="4" t="inlineStr"/>
      <c r="Q90">
        <f>IFERROR(L90/E90*1000,"")</f>
        <v/>
      </c>
      <c r="R90">
        <f>IFERROR(M90/E90*1000,"")</f>
        <v/>
      </c>
      <c r="S90">
        <f>IFERROR(N90/E90*1000,"")</f>
        <v/>
      </c>
      <c r="T90">
        <f>IFERROR(O90/N90*100,"")</f>
        <v/>
      </c>
      <c r="U90">
        <f>IFERROR(P90/N90*100,"")</f>
        <v/>
      </c>
      <c r="V90" t="inlineStr"/>
    </row>
    <row r="91">
      <c r="A91" t="inlineStr">
        <is>
          <t>WS-030</t>
        </is>
      </c>
      <c r="B91" t="inlineStr">
        <is>
          <t>2026-11-29</t>
        </is>
      </c>
      <c r="C91" t="inlineStr">
        <is>
          <t>7 d</t>
        </is>
      </c>
      <c r="D91" s="4" t="inlineStr"/>
      <c r="E91" s="4" t="inlineStr"/>
      <c r="F91" s="4" t="inlineStr"/>
      <c r="G91" s="4" t="inlineStr"/>
      <c r="H91" s="4" t="inlineStr"/>
      <c r="I91" s="4" t="inlineStr"/>
      <c r="J91" s="4" t="inlineStr"/>
      <c r="K91" s="4" t="inlineStr"/>
      <c r="L91" s="4" t="inlineStr"/>
      <c r="M91" s="4" t="inlineStr"/>
      <c r="N91" s="4" t="inlineStr"/>
      <c r="O91" s="4" t="inlineStr"/>
      <c r="P91" s="4" t="inlineStr"/>
      <c r="Q91">
        <f>IFERROR(L91/E91*1000,"")</f>
        <v/>
      </c>
      <c r="R91">
        <f>IFERROR(M91/E91*1000,"")</f>
        <v/>
      </c>
      <c r="S91">
        <f>IFERROR(N91/E91*1000,"")</f>
        <v/>
      </c>
      <c r="T91">
        <f>IFERROR(O91/N91*100,"")</f>
        <v/>
      </c>
      <c r="U91">
        <f>IFERROR(P91/N91*100,"")</f>
        <v/>
      </c>
      <c r="V91" t="inlineStr"/>
    </row>
  </sheetData>
  <autoFilter ref="A1:V9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9" customWidth="1" min="11" max="11"/>
    <col width="10" customWidth="1" min="12" max="12"/>
  </cols>
  <sheetData>
    <row r="1">
      <c r="A1" s="1" t="inlineStr">
        <is>
          <t>ID</t>
        </is>
      </c>
      <c r="B1" s="1" t="inlineStr">
        <is>
          <t>Export file + version</t>
        </is>
      </c>
      <c r="C1" s="1" t="inlineStr">
        <is>
          <t>Reviewer</t>
        </is>
      </c>
      <c r="D1" s="1" t="inlineStr">
        <is>
          <t>Device</t>
        </is>
      </c>
      <c r="E1" s="1" t="inlineStr">
        <is>
          <t>Date</t>
        </is>
      </c>
      <c r="F1" s="1" t="inlineStr">
        <is>
          <t>S</t>
        </is>
      </c>
      <c r="G1" s="1" t="inlineStr">
        <is>
          <t>F</t>
        </is>
      </c>
      <c r="H1" s="1" t="inlineStr">
        <is>
          <t>V</t>
        </is>
      </c>
      <c r="I1" s="1" t="inlineStr">
        <is>
          <t>W</t>
        </is>
      </c>
      <c r="J1" s="1" t="inlineStr">
        <is>
          <t>A</t>
        </is>
      </c>
      <c r="K1" s="1" t="inlineStr">
        <is>
          <t>P (playback on export)</t>
        </is>
      </c>
      <c r="L1" s="1" t="inlineStr">
        <is>
          <t>U / notes</t>
        </is>
      </c>
    </row>
    <row r="2">
      <c r="A2" t="inlineStr">
        <is>
          <t>WS-001</t>
        </is>
      </c>
      <c r="B2" s="4" t="inlineStr"/>
      <c r="C2" s="4" t="inlineStr"/>
      <c r="D2" s="4" t="inlineStr"/>
      <c r="E2" s="4" t="inlineStr"/>
      <c r="F2" s="4" t="inlineStr"/>
      <c r="G2" s="4" t="inlineStr"/>
      <c r="H2" s="4" t="inlineStr"/>
      <c r="I2" s="4" t="inlineStr"/>
      <c r="J2" s="4" t="inlineStr"/>
      <c r="K2" s="4" t="inlineStr"/>
      <c r="L2" s="4" t="inlineStr"/>
    </row>
    <row r="3">
      <c r="A3" t="inlineStr">
        <is>
          <t>WS-002</t>
        </is>
      </c>
      <c r="B3" s="4" t="inlineStr"/>
      <c r="C3" s="4" t="inlineStr"/>
      <c r="D3" s="4" t="inlineStr"/>
      <c r="E3" s="4" t="inlineStr"/>
      <c r="F3" s="4" t="inlineStr"/>
      <c r="G3" s="4" t="inlineStr"/>
      <c r="H3" s="4" t="inlineStr"/>
      <c r="I3" s="4" t="inlineStr"/>
      <c r="J3" s="4" t="inlineStr"/>
      <c r="K3" s="4" t="inlineStr"/>
      <c r="L3" s="4" t="inlineStr"/>
    </row>
    <row r="4">
      <c r="A4" t="inlineStr">
        <is>
          <t>WS-003</t>
        </is>
      </c>
      <c r="B4" s="4" t="inlineStr"/>
      <c r="C4" s="4" t="inlineStr"/>
      <c r="D4" s="4" t="inlineStr"/>
      <c r="E4" s="4" t="inlineStr"/>
      <c r="F4" s="4" t="inlineStr"/>
      <c r="G4" s="4" t="inlineStr"/>
      <c r="H4" s="4" t="inlineStr"/>
      <c r="I4" s="4" t="inlineStr"/>
      <c r="J4" s="4" t="inlineStr"/>
      <c r="K4" s="4" t="inlineStr"/>
      <c r="L4" s="4" t="inlineStr"/>
    </row>
    <row r="5">
      <c r="A5" t="inlineStr">
        <is>
          <t>WS-004</t>
        </is>
      </c>
      <c r="B5" s="4" t="inlineStr"/>
      <c r="C5" s="4" t="inlineStr"/>
      <c r="D5" s="4" t="inlineStr"/>
      <c r="E5" s="4" t="inlineStr"/>
      <c r="F5" s="4" t="inlineStr"/>
      <c r="G5" s="4" t="inlineStr"/>
      <c r="H5" s="4" t="inlineStr"/>
      <c r="I5" s="4" t="inlineStr"/>
      <c r="J5" s="4" t="inlineStr"/>
      <c r="K5" s="4" t="inlineStr"/>
      <c r="L5" s="4" t="inlineStr"/>
    </row>
    <row r="6">
      <c r="A6" t="inlineStr">
        <is>
          <t>WS-005</t>
        </is>
      </c>
      <c r="B6" s="4" t="inlineStr"/>
      <c r="C6" s="4" t="inlineStr"/>
      <c r="D6" s="4" t="inlineStr"/>
      <c r="E6" s="4" t="inlineStr"/>
      <c r="F6" s="4" t="inlineStr"/>
      <c r="G6" s="4" t="inlineStr"/>
      <c r="H6" s="4" t="inlineStr"/>
      <c r="I6" s="4" t="inlineStr"/>
      <c r="J6" s="4" t="inlineStr"/>
      <c r="K6" s="4" t="inlineStr"/>
      <c r="L6" s="4" t="inlineStr"/>
    </row>
    <row r="7">
      <c r="A7" t="inlineStr">
        <is>
          <t>WS-006</t>
        </is>
      </c>
      <c r="B7" s="4" t="inlineStr"/>
      <c r="C7" s="4" t="inlineStr"/>
      <c r="D7" s="4" t="inlineStr"/>
      <c r="E7" s="4" t="inlineStr"/>
      <c r="F7" s="4" t="inlineStr"/>
      <c r="G7" s="4" t="inlineStr"/>
      <c r="H7" s="4" t="inlineStr"/>
      <c r="I7" s="4" t="inlineStr"/>
      <c r="J7" s="4" t="inlineStr"/>
      <c r="K7" s="4" t="inlineStr"/>
      <c r="L7" s="4" t="inlineStr"/>
    </row>
    <row r="8">
      <c r="A8" t="inlineStr">
        <is>
          <t>WS-007</t>
        </is>
      </c>
      <c r="B8" s="4" t="inlineStr"/>
      <c r="C8" s="4" t="inlineStr"/>
      <c r="D8" s="4" t="inlineStr"/>
      <c r="E8" s="4" t="inlineStr"/>
      <c r="F8" s="4" t="inlineStr"/>
      <c r="G8" s="4" t="inlineStr"/>
      <c r="H8" s="4" t="inlineStr"/>
      <c r="I8" s="4" t="inlineStr"/>
      <c r="J8" s="4" t="inlineStr"/>
      <c r="K8" s="4" t="inlineStr"/>
      <c r="L8" s="4" t="inlineStr"/>
    </row>
    <row r="9">
      <c r="A9" t="inlineStr">
        <is>
          <t>WS-008</t>
        </is>
      </c>
      <c r="B9" s="4" t="inlineStr"/>
      <c r="C9" s="4" t="inlineStr"/>
      <c r="D9" s="4" t="inlineStr"/>
      <c r="E9" s="4" t="inlineStr"/>
      <c r="F9" s="4" t="inlineStr"/>
      <c r="G9" s="4" t="inlineStr"/>
      <c r="H9" s="4" t="inlineStr"/>
      <c r="I9" s="4" t="inlineStr"/>
      <c r="J9" s="4" t="inlineStr"/>
      <c r="K9" s="4" t="inlineStr"/>
      <c r="L9" s="4" t="inlineStr"/>
    </row>
    <row r="10">
      <c r="A10" t="inlineStr">
        <is>
          <t>WS-009</t>
        </is>
      </c>
      <c r="B10" s="4" t="inlineStr"/>
      <c r="C10" s="4" t="inlineStr"/>
      <c r="D10" s="4" t="inlineStr"/>
      <c r="E10" s="4" t="inlineStr"/>
      <c r="F10" s="4" t="inlineStr"/>
      <c r="G10" s="4" t="inlineStr"/>
      <c r="H10" s="4" t="inlineStr"/>
      <c r="I10" s="4" t="inlineStr"/>
      <c r="J10" s="4" t="inlineStr"/>
      <c r="K10" s="4" t="inlineStr"/>
      <c r="L10" s="4" t="inlineStr"/>
    </row>
    <row r="11">
      <c r="A11" t="inlineStr">
        <is>
          <t>WS-010</t>
        </is>
      </c>
      <c r="B11" s="4" t="inlineStr"/>
      <c r="C11" s="4" t="inlineStr"/>
      <c r="D11" s="4" t="inlineStr"/>
      <c r="E11" s="4" t="inlineStr"/>
      <c r="F11" s="4" t="inlineStr"/>
      <c r="G11" s="4" t="inlineStr"/>
      <c r="H11" s="4" t="inlineStr"/>
      <c r="I11" s="4" t="inlineStr"/>
      <c r="J11" s="4" t="inlineStr"/>
      <c r="K11" s="4" t="inlineStr"/>
      <c r="L11" s="4" t="inlineStr"/>
    </row>
    <row r="12">
      <c r="A12" t="inlineStr">
        <is>
          <t>WS-011</t>
        </is>
      </c>
      <c r="B12" s="4" t="inlineStr"/>
      <c r="C12" s="4" t="inlineStr"/>
      <c r="D12" s="4" t="inlineStr"/>
      <c r="E12" s="4" t="inlineStr"/>
      <c r="F12" s="4" t="inlineStr"/>
      <c r="G12" s="4" t="inlineStr"/>
      <c r="H12" s="4" t="inlineStr"/>
      <c r="I12" s="4" t="inlineStr"/>
      <c r="J12" s="4" t="inlineStr"/>
      <c r="K12" s="4" t="inlineStr"/>
      <c r="L12" s="4" t="inlineStr"/>
    </row>
    <row r="13">
      <c r="A13" t="inlineStr">
        <is>
          <t>WS-012</t>
        </is>
      </c>
      <c r="B13" s="4" t="inlineStr"/>
      <c r="C13" s="4" t="inlineStr"/>
      <c r="D13" s="4" t="inlineStr"/>
      <c r="E13" s="4" t="inlineStr"/>
      <c r="F13" s="4" t="inlineStr"/>
      <c r="G13" s="4" t="inlineStr"/>
      <c r="H13" s="4" t="inlineStr"/>
      <c r="I13" s="4" t="inlineStr"/>
      <c r="J13" s="4" t="inlineStr"/>
      <c r="K13" s="4" t="inlineStr"/>
      <c r="L13" s="4" t="inlineStr"/>
    </row>
    <row r="14">
      <c r="A14" t="inlineStr">
        <is>
          <t>WS-013</t>
        </is>
      </c>
      <c r="B14" s="4" t="inlineStr"/>
      <c r="C14" s="4" t="inlineStr"/>
      <c r="D14" s="4" t="inlineStr"/>
      <c r="E14" s="4" t="inlineStr"/>
      <c r="F14" s="4" t="inlineStr"/>
      <c r="G14" s="4" t="inlineStr"/>
      <c r="H14" s="4" t="inlineStr"/>
      <c r="I14" s="4" t="inlineStr"/>
      <c r="J14" s="4" t="inlineStr"/>
      <c r="K14" s="4" t="inlineStr"/>
      <c r="L14" s="4" t="inlineStr"/>
    </row>
    <row r="15">
      <c r="A15" t="inlineStr">
        <is>
          <t>WS-014</t>
        </is>
      </c>
      <c r="B15" s="4" t="inlineStr"/>
      <c r="C15" s="4" t="inlineStr"/>
      <c r="D15" s="4" t="inlineStr"/>
      <c r="E15" s="4" t="inlineStr"/>
      <c r="F15" s="4" t="inlineStr"/>
      <c r="G15" s="4" t="inlineStr"/>
      <c r="H15" s="4" t="inlineStr"/>
      <c r="I15" s="4" t="inlineStr"/>
      <c r="J15" s="4" t="inlineStr"/>
      <c r="K15" s="4" t="inlineStr"/>
      <c r="L15" s="4" t="inlineStr"/>
    </row>
    <row r="16">
      <c r="A16" t="inlineStr">
        <is>
          <t>WS-015</t>
        </is>
      </c>
      <c r="B16" s="4" t="inlineStr"/>
      <c r="C16" s="4" t="inlineStr"/>
      <c r="D16" s="4" t="inlineStr"/>
      <c r="E16" s="4" t="inlineStr"/>
      <c r="F16" s="4" t="inlineStr"/>
      <c r="G16" s="4" t="inlineStr"/>
      <c r="H16" s="4" t="inlineStr"/>
      <c r="I16" s="4" t="inlineStr"/>
      <c r="J16" s="4" t="inlineStr"/>
      <c r="K16" s="4" t="inlineStr"/>
      <c r="L16" s="4" t="inlineStr"/>
    </row>
    <row r="17">
      <c r="A17" t="inlineStr">
        <is>
          <t>WS-016</t>
        </is>
      </c>
      <c r="B17" s="4" t="inlineStr"/>
      <c r="C17" s="4" t="inlineStr"/>
      <c r="D17" s="4" t="inlineStr"/>
      <c r="E17" s="4" t="inlineStr"/>
      <c r="F17" s="4" t="inlineStr"/>
      <c r="G17" s="4" t="inlineStr"/>
      <c r="H17" s="4" t="inlineStr"/>
      <c r="I17" s="4" t="inlineStr"/>
      <c r="J17" s="4" t="inlineStr"/>
      <c r="K17" s="4" t="inlineStr"/>
      <c r="L17" s="4" t="inlineStr"/>
    </row>
    <row r="18">
      <c r="A18" t="inlineStr">
        <is>
          <t>WS-017</t>
        </is>
      </c>
      <c r="B18" s="4" t="inlineStr"/>
      <c r="C18" s="4" t="inlineStr"/>
      <c r="D18" s="4" t="inlineStr"/>
      <c r="E18" s="4" t="inlineStr"/>
      <c r="F18" s="4" t="inlineStr"/>
      <c r="G18" s="4" t="inlineStr"/>
      <c r="H18" s="4" t="inlineStr"/>
      <c r="I18" s="4" t="inlineStr"/>
      <c r="J18" s="4" t="inlineStr"/>
      <c r="K18" s="4" t="inlineStr"/>
      <c r="L18" s="4" t="inlineStr"/>
    </row>
    <row r="19">
      <c r="A19" t="inlineStr">
        <is>
          <t>WS-018</t>
        </is>
      </c>
      <c r="B19" s="4" t="inlineStr"/>
      <c r="C19" s="4" t="inlineStr"/>
      <c r="D19" s="4" t="inlineStr"/>
      <c r="E19" s="4" t="inlineStr"/>
      <c r="F19" s="4" t="inlineStr"/>
      <c r="G19" s="4" t="inlineStr"/>
      <c r="H19" s="4" t="inlineStr"/>
      <c r="I19" s="4" t="inlineStr"/>
      <c r="J19" s="4" t="inlineStr"/>
      <c r="K19" s="4" t="inlineStr"/>
      <c r="L19" s="4" t="inlineStr"/>
    </row>
    <row r="20">
      <c r="A20" t="inlineStr">
        <is>
          <t>WS-019</t>
        </is>
      </c>
      <c r="B20" s="4" t="inlineStr"/>
      <c r="C20" s="4" t="inlineStr"/>
      <c r="D20" s="4" t="inlineStr"/>
      <c r="E20" s="4" t="inlineStr"/>
      <c r="F20" s="4" t="inlineStr"/>
      <c r="G20" s="4" t="inlineStr"/>
      <c r="H20" s="4" t="inlineStr"/>
      <c r="I20" s="4" t="inlineStr"/>
      <c r="J20" s="4" t="inlineStr"/>
      <c r="K20" s="4" t="inlineStr"/>
      <c r="L20" s="4" t="inlineStr"/>
    </row>
    <row r="21">
      <c r="A21" t="inlineStr">
        <is>
          <t>WS-020</t>
        </is>
      </c>
      <c r="B21" s="4" t="inlineStr"/>
      <c r="C21" s="4" t="inlineStr"/>
      <c r="D21" s="4" t="inlineStr"/>
      <c r="E21" s="4" t="inlineStr"/>
      <c r="F21" s="4" t="inlineStr"/>
      <c r="G21" s="4" t="inlineStr"/>
      <c r="H21" s="4" t="inlineStr"/>
      <c r="I21" s="4" t="inlineStr"/>
      <c r="J21" s="4" t="inlineStr"/>
      <c r="K21" s="4" t="inlineStr"/>
      <c r="L21" s="4" t="inlineStr"/>
    </row>
    <row r="22">
      <c r="A22" t="inlineStr">
        <is>
          <t>WS-021</t>
        </is>
      </c>
      <c r="B22" s="4" t="inlineStr"/>
      <c r="C22" s="4" t="inlineStr"/>
      <c r="D22" s="4" t="inlineStr"/>
      <c r="E22" s="4" t="inlineStr"/>
      <c r="F22" s="4" t="inlineStr"/>
      <c r="G22" s="4" t="inlineStr"/>
      <c r="H22" s="4" t="inlineStr"/>
      <c r="I22" s="4" t="inlineStr"/>
      <c r="J22" s="4" t="inlineStr"/>
      <c r="K22" s="4" t="inlineStr"/>
      <c r="L22" s="4" t="inlineStr"/>
    </row>
    <row r="23">
      <c r="A23" t="inlineStr">
        <is>
          <t>WS-022</t>
        </is>
      </c>
      <c r="B23" s="4" t="inlineStr"/>
      <c r="C23" s="4" t="inlineStr"/>
      <c r="D23" s="4" t="inlineStr"/>
      <c r="E23" s="4" t="inlineStr"/>
      <c r="F23" s="4" t="inlineStr"/>
      <c r="G23" s="4" t="inlineStr"/>
      <c r="H23" s="4" t="inlineStr"/>
      <c r="I23" s="4" t="inlineStr"/>
      <c r="J23" s="4" t="inlineStr"/>
      <c r="K23" s="4" t="inlineStr"/>
      <c r="L23" s="4" t="inlineStr"/>
    </row>
    <row r="24">
      <c r="A24" t="inlineStr">
        <is>
          <t>WS-023</t>
        </is>
      </c>
      <c r="B24" s="4" t="inlineStr"/>
      <c r="C24" s="4" t="inlineStr"/>
      <c r="D24" s="4" t="inlineStr"/>
      <c r="E24" s="4" t="inlineStr"/>
      <c r="F24" s="4" t="inlineStr"/>
      <c r="G24" s="4" t="inlineStr"/>
      <c r="H24" s="4" t="inlineStr"/>
      <c r="I24" s="4" t="inlineStr"/>
      <c r="J24" s="4" t="inlineStr"/>
      <c r="K24" s="4" t="inlineStr"/>
      <c r="L24" s="4" t="inlineStr"/>
    </row>
    <row r="25">
      <c r="A25" t="inlineStr">
        <is>
          <t>WS-024</t>
        </is>
      </c>
      <c r="B25" s="4" t="inlineStr"/>
      <c r="C25" s="4" t="inlineStr"/>
      <c r="D25" s="4" t="inlineStr"/>
      <c r="E25" s="4" t="inlineStr"/>
      <c r="F25" s="4" t="inlineStr"/>
      <c r="G25" s="4" t="inlineStr"/>
      <c r="H25" s="4" t="inlineStr"/>
      <c r="I25" s="4" t="inlineStr"/>
      <c r="J25" s="4" t="inlineStr"/>
      <c r="K25" s="4" t="inlineStr"/>
      <c r="L25" s="4" t="inlineStr"/>
    </row>
    <row r="26">
      <c r="A26" t="inlineStr">
        <is>
          <t>WS-025</t>
        </is>
      </c>
      <c r="B26" s="4" t="inlineStr"/>
      <c r="C26" s="4" t="inlineStr"/>
      <c r="D26" s="4" t="inlineStr"/>
      <c r="E26" s="4" t="inlineStr"/>
      <c r="F26" s="4" t="inlineStr"/>
      <c r="G26" s="4" t="inlineStr"/>
      <c r="H26" s="4" t="inlineStr"/>
      <c r="I26" s="4" t="inlineStr"/>
      <c r="J26" s="4" t="inlineStr"/>
      <c r="K26" s="4" t="inlineStr"/>
      <c r="L26" s="4" t="inlineStr"/>
    </row>
    <row r="27">
      <c r="A27" t="inlineStr">
        <is>
          <t>WS-026</t>
        </is>
      </c>
      <c r="B27" s="4" t="inlineStr"/>
      <c r="C27" s="4" t="inlineStr"/>
      <c r="D27" s="4" t="inlineStr"/>
      <c r="E27" s="4" t="inlineStr"/>
      <c r="F27" s="4" t="inlineStr"/>
      <c r="G27" s="4" t="inlineStr"/>
      <c r="H27" s="4" t="inlineStr"/>
      <c r="I27" s="4" t="inlineStr"/>
      <c r="J27" s="4" t="inlineStr"/>
      <c r="K27" s="4" t="inlineStr"/>
      <c r="L27" s="4" t="inlineStr"/>
    </row>
    <row r="28">
      <c r="A28" t="inlineStr">
        <is>
          <t>WS-027</t>
        </is>
      </c>
      <c r="B28" s="4" t="inlineStr"/>
      <c r="C28" s="4" t="inlineStr"/>
      <c r="D28" s="4" t="inlineStr"/>
      <c r="E28" s="4" t="inlineStr"/>
      <c r="F28" s="4" t="inlineStr"/>
      <c r="G28" s="4" t="inlineStr"/>
      <c r="H28" s="4" t="inlineStr"/>
      <c r="I28" s="4" t="inlineStr"/>
      <c r="J28" s="4" t="inlineStr"/>
      <c r="K28" s="4" t="inlineStr"/>
      <c r="L28" s="4" t="inlineStr"/>
    </row>
    <row r="29">
      <c r="A29" t="inlineStr">
        <is>
          <t>WS-028</t>
        </is>
      </c>
      <c r="B29" s="4" t="inlineStr"/>
      <c r="C29" s="4" t="inlineStr"/>
      <c r="D29" s="4" t="inlineStr"/>
      <c r="E29" s="4" t="inlineStr"/>
      <c r="F29" s="4" t="inlineStr"/>
      <c r="G29" s="4" t="inlineStr"/>
      <c r="H29" s="4" t="inlineStr"/>
      <c r="I29" s="4" t="inlineStr"/>
      <c r="J29" s="4" t="inlineStr"/>
      <c r="K29" s="4" t="inlineStr"/>
      <c r="L29" s="4" t="inlineStr"/>
    </row>
    <row r="30">
      <c r="A30" t="inlineStr">
        <is>
          <t>WS-029</t>
        </is>
      </c>
      <c r="B30" s="4" t="inlineStr"/>
      <c r="C30" s="4" t="inlineStr"/>
      <c r="D30" s="4" t="inlineStr"/>
      <c r="E30" s="4" t="inlineStr"/>
      <c r="F30" s="4" t="inlineStr"/>
      <c r="G30" s="4" t="inlineStr"/>
      <c r="H30" s="4" t="inlineStr"/>
      <c r="I30" s="4" t="inlineStr"/>
      <c r="J30" s="4" t="inlineStr"/>
      <c r="K30" s="4" t="inlineStr"/>
      <c r="L30" s="4" t="inlineStr"/>
    </row>
    <row r="31">
      <c r="A31" t="inlineStr">
        <is>
          <t>WS-030</t>
        </is>
      </c>
      <c r="B31" s="4" t="inlineStr"/>
      <c r="C31" s="4" t="inlineStr"/>
      <c r="D31" s="4" t="inlineStr"/>
      <c r="E31" s="4" t="inlineStr"/>
      <c r="F31" s="4" t="inlineStr"/>
      <c r="G31" s="4" t="inlineStr"/>
      <c r="H31" s="4" t="inlineStr"/>
      <c r="I31" s="4" t="inlineStr"/>
      <c r="J31" s="4" t="inlineStr"/>
      <c r="K31" s="4" t="inlineStr"/>
      <c r="L31" s="4" t="inlineStr"/>
    </row>
  </sheetData>
  <autoFilter ref="A1:L31"/>
  <dataValidations count="1">
    <dataValidation sqref="F2 F3 F4 F5 F6 F7 F8 F9 F10 F11 F12 F13 F14 F15 F16 F17 F18 F19 F20 F21 F22 F23 F24 F25 F26 F27 F28 F29 F30 F31 G2 G3 G4 G5 G6 G7 G8 G9 G10 G11 G12 G13 G14 G15 G16 G17 G18 G19 G20 G21 G22 G23 G24 G25 G26 G27 G28 G29 G30 G31 H2 H3 H4 H5 H6 H7 H8 H9 H10 H11 H12 H13 H14 H15 H16 H17 H18 H19 H20 H21 H22 H23 H24 H25 H26 H27 H28 H29 H30 H31 I2 I3 I4 I5 I6 I7 I8 I9 I10 I11 I12 I13 I14 I15 I16 I17 I18 I19 I20 I21 I22 I23 I24 I25 I26 I27 I28 I29 I30 I31 J2 J3 J4 J5 J6 J7 J8 J9 J10 J11 J12 J13 J14 J15 J16 J17 J18 J19 J20 J21 J22 J23 J24 J25 J26 J27 J28 J29 J30 J31 K2 K3 K4 K5 K6 K7 K8 K9 K10 K11 K12 K13 K14 K15 K16 K17 K18 K19 K20 K21 K22 K23 K24 K25 K26 K27 K28 K29 K30 K31" showDropDown="0" showInputMessage="0" showErrorMessage="0" allowBlank="1" type="list">
      <formula1>"PASS,FAIL,N/A"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60" customWidth="1" min="3" max="3"/>
    <col width="60" customWidth="1" min="4" max="4"/>
    <col width="30" customWidth="1" min="5" max="5"/>
  </cols>
  <sheetData>
    <row r="1">
      <c r="A1" s="1" t="inlineStr">
        <is>
          <t>ID</t>
        </is>
      </c>
      <c r="B1" s="1" t="inlineStr">
        <is>
          <t>Date</t>
        </is>
      </c>
      <c r="C1" s="1" t="inlineStr">
        <is>
          <t>Change</t>
        </is>
      </c>
      <c r="D1" s="1" t="inlineStr">
        <is>
          <t>Why (evidence)</t>
        </is>
      </c>
      <c r="E1" s="1" t="inlineStr">
        <is>
          <t>Files</t>
        </is>
      </c>
    </row>
    <row r="2">
      <c r="A2" s="2" t="inlineStr">
        <is>
          <t>CL-001</t>
        </is>
      </c>
      <c r="B2" s="2" t="inlineStr">
        <is>
          <t>2026-10-14</t>
        </is>
      </c>
      <c r="C2" s="2" t="inlineStr">
        <is>
          <t>All Fork-time captions moved to lane A (tag drawn above the crack)</t>
        </is>
      </c>
      <c r="D2" s="2" t="inlineStr">
        <is>
          <t>Lane B overlapped the Fork chips (found while prototyping)</t>
        </is>
      </c>
      <c r="E2" s="2" t="inlineStr">
        <is>
          <t>09 §6, packages</t>
        </is>
      </c>
    </row>
    <row r="3">
      <c r="A3" s="2" t="inlineStr">
        <is>
          <t>CL-002</t>
        </is>
      </c>
      <c r="B3" s="2" t="inlineStr">
        <is>
          <t>2026-10-14</t>
        </is>
      </c>
      <c r="C3" s="2" t="inlineStr">
        <is>
          <t>13 Verdict factors shortened to ≤8 words</t>
        </is>
      </c>
      <c r="D3" s="2" t="inlineStr">
        <is>
          <t>The V2 rule (≤8 words) was broken in the first calendar draft</t>
        </is>
      </c>
      <c r="E3" s="2" t="inlineStr">
        <is>
          <t>calendar_data, briefs</t>
        </is>
      </c>
    </row>
    <row r="4">
      <c r="A4" s="2" t="inlineStr">
        <is>
          <t>CL-003</t>
        </is>
      </c>
      <c r="B4" s="2" t="inlineStr">
        <is>
          <t>2026-10-14</t>
        </is>
      </c>
      <c r="C4" s="2" t="inlineStr">
        <is>
          <t>Day 1 script trimmed to 121 words; read rate set to 2.85 words/s</t>
        </is>
      </c>
      <c r="D4" s="2" t="inlineStr">
        <is>
          <t>The first draft implied ≈250 wpm windows</t>
        </is>
      </c>
      <c r="E4" s="2" t="inlineStr">
        <is>
          <t>WS-001 package</t>
        </is>
      </c>
    </row>
    <row r="5">
      <c r="A5" s="2" t="inlineStr">
        <is>
          <t>CL-004</t>
        </is>
      </c>
      <c r="B5" s="2" t="inlineStr">
        <is>
          <t>2026-10-14</t>
        </is>
      </c>
      <c r="C5" s="2" t="inlineStr">
        <is>
          <t>WS-002 countdown made real time (T1 per-second events)</t>
        </is>
      </c>
      <c r="D5" s="2" t="inlineStr">
        <is>
          <t>The first draft showed a time inconsistent with screen time (a false countdown)</t>
        </is>
      </c>
      <c r="E5" s="2" t="inlineStr">
        <is>
          <t>WS-002 package</t>
        </is>
      </c>
    </row>
    <row r="6">
      <c r="A6" s="2" t="inlineStr">
        <is>
          <t>CL-005</t>
        </is>
      </c>
      <c r="B6" s="2" t="inlineStr">
        <is>
          <t>2026-10-14</t>
        </is>
      </c>
      <c r="C6" s="2" t="inlineStr">
        <is>
          <t>WS-005 REAL RULE shortened from 16 to 14 words</t>
        </is>
      </c>
      <c r="D6" s="2" t="inlineStr">
        <is>
          <t>The V3 limit is ≤14 words</t>
        </is>
      </c>
      <c r="E6" s="2" t="inlineStr">
        <is>
          <t>calendar, WS-005 brief</t>
        </is>
      </c>
    </row>
    <row r="7">
      <c r="A7" s="2" t="inlineStr">
        <is>
          <t>CL-006</t>
        </is>
      </c>
      <c r="B7" s="2" t="inlineStr">
        <is>
          <t>2026-10-14</t>
        </is>
      </c>
      <c r="C7" s="2" t="inlineStr">
        <is>
          <t>WS-026 title no longer says "Busiest Travel Day"</t>
        </is>
      </c>
      <c r="D7" s="2" t="inlineStr">
        <is>
          <t>No ledger source; replaced by a plain calendar fact ("the Day Before Thanksgiving")</t>
        </is>
      </c>
      <c r="E7" s="2" t="inlineStr">
        <is>
          <t>calendar, WS-026 brief</t>
        </is>
      </c>
    </row>
    <row r="8">
      <c r="A8" s="2" t="inlineStr">
        <is>
          <t>CL-007</t>
        </is>
      </c>
      <c r="B8" s="2" t="inlineStr">
        <is>
          <t>2026-10-14</t>
        </is>
      </c>
      <c r="C8" s="2" t="inlineStr">
        <is>
          <t>SAFE added as a Verdict status; WS-010 "OK" changed to SAFE</t>
        </is>
      </c>
      <c r="D8" s="2" t="inlineStr">
        <is>
          <t>Real Rule outcomes needed a truthful status that isn't "escaped"</t>
        </is>
      </c>
      <c r="E8" s="2" t="inlineStr">
        <is>
          <t>08 §8.3, 09 V1, calendar</t>
        </is>
      </c>
    </row>
    <row r="9">
      <c r="A9" s="2" t="inlineStr">
        <is>
          <t>CL-008</t>
        </is>
      </c>
      <c r="B9" s="2" t="inlineStr">
        <is>
          <t>2026-10-14</t>
        </is>
      </c>
      <c r="C9" s="2" t="inlineStr">
        <is>
          <t>WR-04 extended: no climbing over waist-high barriers</t>
        </is>
      </c>
      <c r="D9" s="2" t="inlineStr">
        <is>
          <t>WS-006's cart barrier needed the rule stated before use (rules never change to rescue a character)</t>
        </is>
      </c>
      <c r="E9" s="2" t="inlineStr">
        <is>
          <t>07 §3, WS-006 brief</t>
        </is>
      </c>
    </row>
    <row r="10">
      <c r="A10" s="2" t="inlineStr">
        <is>
          <t>CL-009</t>
        </is>
      </c>
      <c r="B10" s="2" t="inlineStr">
        <is>
          <t>2026-10-14</t>
        </is>
      </c>
      <c r="C10" s="2" t="inlineStr">
        <is>
          <t>Ledger rows C-506 (CO first response) and C-1206 (second way out) added as BLOCKING</t>
        </is>
      </c>
      <c r="D10" s="2" t="inlineStr">
        <is>
          <t>Scripts used these instructions without ledger rows</t>
        </is>
      </c>
      <c r="E10" s="2" t="inlineStr">
        <is>
          <t>ledger, WS-005, WS-012</t>
        </is>
      </c>
    </row>
    <row r="11">
      <c r="A11" s="2" t="inlineStr">
        <is>
          <t>CL-010</t>
        </is>
      </c>
      <c r="B11" s="2" t="inlineStr">
        <is>
          <t>2026-10-14</t>
        </is>
      </c>
      <c r="C11" s="2" t="inlineStr">
        <is>
          <t>Fallback launch order re-flowed so seasonal episodes keep their dates</t>
        </is>
      </c>
      <c r="D11" s="2" t="inlineStr">
        <is>
          <t>"Same order, 9 days later" would have mis-dated the Thanksgiving and Black Friday episodes</t>
        </is>
      </c>
      <c r="E11" s="2" t="inlineStr">
        <is>
          <t>17, 20 §2.4</t>
        </is>
      </c>
    </row>
    <row r="12">
      <c r="A12" s="2" t="inlineStr">
        <is>
          <t>CL-011</t>
        </is>
      </c>
      <c r="B12" s="2" t="inlineStr">
        <is>
          <t>2026-10-14</t>
        </is>
      </c>
      <c r="C12" s="2" t="inlineStr">
        <is>
          <t>WS-003 target duration revised from 62–66 s to 58–62 s; Verdict statuses normalised to the fixed set (CONTAINED/READY/OUT/FOUND mapped to SURVIVED/SAFE/ESCAPED)</t>
        </is>
      </c>
      <c r="D12" s="2" t="inlineStr">
        <is>
          <t>The timed package reads 58.0 s; one status vocabulary keeps the Verdict ritual consistent</t>
        </is>
      </c>
      <c r="E12" s="2" t="inlineStr">
        <is>
          <t>calendar, WS-003/015/020/021/023/025 briefs</t>
        </is>
      </c>
    </row>
    <row r="13">
      <c r="A13" s="2" t="inlineStr">
        <is>
          <t>CL-012</t>
        </is>
      </c>
      <c r="B13" s="2" t="inlineStr"/>
      <c r="C13" s="2" t="inlineStr"/>
      <c r="D13" s="2" t="inlineStr"/>
      <c r="E13" s="2" t="inlineStr"/>
    </row>
  </sheetData>
  <autoFilter ref="A1:E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20" customWidth="1" min="3" max="3"/>
    <col width="60" customWidth="1" min="4" max="4"/>
    <col width="37" customWidth="1" min="5" max="5"/>
    <col width="51" customWidth="1" min="6" max="6"/>
    <col width="43" customWidth="1" min="7" max="7"/>
    <col width="18" customWidth="1" min="8" max="8"/>
    <col width="37" customWidth="1" min="9" max="9"/>
    <col width="10" customWidth="1" min="10" max="10"/>
    <col width="50" customWidth="1" min="11" max="11"/>
  </cols>
  <sheetData>
    <row r="1">
      <c r="A1" s="1" t="inlineStr">
        <is>
          <t>Asset ID</t>
        </is>
      </c>
      <c r="B1" s="1" t="inlineStr">
        <is>
          <t>Asset</t>
        </is>
      </c>
      <c r="C1" s="1" t="inlineStr">
        <is>
          <t>Type</t>
        </is>
      </c>
      <c r="D1" s="1" t="inlineStr">
        <is>
          <t>Creator / source</t>
        </is>
      </c>
      <c r="E1" s="1" t="inlineStr">
        <is>
          <t>Licence</t>
        </is>
      </c>
      <c r="F1" s="1" t="inlineStr">
        <is>
          <t>Proof location</t>
        </is>
      </c>
      <c r="G1" s="1" t="inlineStr">
        <is>
          <t>Allowed in monetized YouTube?</t>
        </is>
      </c>
      <c r="H1" s="1" t="inlineStr">
        <is>
          <t>Attribution required</t>
        </is>
      </c>
      <c r="I1" s="1" t="inlineStr">
        <is>
          <t>Used in</t>
        </is>
      </c>
      <c r="J1" s="1" t="inlineStr">
        <is>
          <t>Date logged</t>
        </is>
      </c>
      <c r="K1" s="1" t="inlineStr">
        <is>
          <t>Notes</t>
        </is>
      </c>
    </row>
    <row r="2">
      <c r="A2" s="2" t="inlineStr">
        <is>
          <t>AR-001</t>
        </is>
      </c>
      <c r="B2" s="2" t="inlineStr">
        <is>
          <t>Big Shoulders Display (800/900)</t>
        </is>
      </c>
      <c r="C2" s="2" t="inlineStr">
        <is>
          <t>Font</t>
        </is>
      </c>
      <c r="D2" s="2" t="inlineStr">
        <is>
          <t>@fontsource/big-shoulders-display 5.3.0 (Google Fonts family)</t>
        </is>
      </c>
      <c r="E2" s="2" t="inlineStr">
        <is>
          <t>SIL OFL 1.1</t>
        </is>
      </c>
      <c r="F2" s="2" t="inlineStr">
        <is>
          <t>tools/render/fonts/LICENSE_big-shoulders-display.txt</t>
        </is>
      </c>
      <c r="G2" s="2" t="inlineStr">
        <is>
          <t>Yes (burned-in output is not covered by the OFL)</t>
        </is>
      </c>
      <c r="H2" s="2" t="inlineStr">
        <is>
          <t>No</t>
        </is>
      </c>
      <c r="I2" s="2" t="inlineStr">
        <is>
          <t>Typography system (09); all episodes</t>
        </is>
      </c>
      <c r="J2" s="2" t="inlineStr">
        <is>
          <t>2026-10-14</t>
        </is>
      </c>
      <c r="K2" s="2" t="inlineStr">
        <is>
          <t>Licence text read from the package file</t>
        </is>
      </c>
    </row>
    <row r="3">
      <c r="A3" s="2" t="inlineStr">
        <is>
          <t>AR-002</t>
        </is>
      </c>
      <c r="B3" s="2" t="inlineStr">
        <is>
          <t>Atkinson Hyperlegible Next (400/700/800)</t>
        </is>
      </c>
      <c r="C3" s="2" t="inlineStr">
        <is>
          <t>Font</t>
        </is>
      </c>
      <c r="D3" s="2" t="inlineStr">
        <is>
          <t>@fontsource/atkinson-hyperlegible-next 5.3.0 (Braille Institute; Google Fonts)</t>
        </is>
      </c>
      <c r="E3" s="2" t="inlineStr">
        <is>
          <t>SIL OFL 1.1</t>
        </is>
      </c>
      <c r="F3" s="2" t="inlineStr">
        <is>
          <t>tools/render/fonts/LICENSE_atkinson-hyperlegible-next.txt</t>
        </is>
      </c>
      <c r="G3" s="2" t="inlineStr">
        <is>
          <t>Yes</t>
        </is>
      </c>
      <c r="H3" s="2" t="inlineStr">
        <is>
          <t>No</t>
        </is>
      </c>
      <c r="I3" s="2" t="inlineStr">
        <is>
          <t>Captions and Verdict text; all episodes</t>
        </is>
      </c>
      <c r="J3" s="2" t="inlineStr">
        <is>
          <t>2026-10-14</t>
        </is>
      </c>
      <c r="K3" s="2" t="inlineStr">
        <is>
          <t>Licence text read from the package file</t>
        </is>
      </c>
    </row>
    <row r="4">
      <c r="A4" s="2" t="inlineStr">
        <is>
          <t>AR-003</t>
        </is>
      </c>
      <c r="B4" s="2" t="inlineStr">
        <is>
          <t>JetBrains Mono (700/800)</t>
        </is>
      </c>
      <c r="C4" s="2" t="inlineStr">
        <is>
          <t>Font</t>
        </is>
      </c>
      <c r="D4" s="2" t="inlineStr">
        <is>
          <t>@fontsource/jetbrains-mono 5.3.0 (JetBrains)</t>
        </is>
      </c>
      <c r="E4" s="2" t="inlineStr">
        <is>
          <t>SIL OFL 1.1</t>
        </is>
      </c>
      <c r="F4" s="2" t="inlineStr">
        <is>
          <t>tools/render/fonts/LICENSE_jetbrains-mono.txt</t>
        </is>
      </c>
      <c r="G4" s="2" t="inlineStr">
        <is>
          <t>Yes</t>
        </is>
      </c>
      <c r="H4" s="2" t="inlineStr">
        <is>
          <t>No</t>
        </is>
      </c>
      <c r="I4" s="2" t="inlineStr">
        <is>
          <t>Timers, labels, tags; all episodes</t>
        </is>
      </c>
      <c r="J4" s="2" t="inlineStr">
        <is>
          <t>2026-10-14</t>
        </is>
      </c>
      <c r="K4" s="2" t="inlineStr">
        <is>
          <t>Licence text read from the package file</t>
        </is>
      </c>
    </row>
    <row r="5">
      <c r="A5" s="2" t="inlineStr">
        <is>
          <t>AR-004</t>
        </is>
      </c>
      <c r="B5" s="2" t="inlineStr">
        <is>
          <t>Style frames SF1–SF3 and motion proof MP1</t>
        </is>
      </c>
      <c r="C5" s="2" t="inlineStr">
        <is>
          <t>Image/video (prototype)</t>
        </is>
      </c>
      <c r="D5" s="2" t="inlineStr">
        <is>
          <t>Original; rendered in this project from procedural code (tools/render)</t>
        </is>
      </c>
      <c r="E5" s="2" t="inlineStr">
        <is>
          <t>Owned by the channel owner (original work)</t>
        </is>
      </c>
      <c r="F5" s="2" t="inlineStr">
        <is>
          <t>11_Style_Frames_and_Motion_Proof/</t>
        </is>
      </c>
      <c r="G5" s="2" t="inlineStr">
        <is>
          <t>Yes</t>
        </is>
      </c>
      <c r="H5" s="2" t="inlineStr">
        <is>
          <t>No</t>
        </is>
      </c>
      <c r="I5" s="2" t="inlineStr">
        <is>
          <t>Reference only (not for publication as-is)</t>
        </is>
      </c>
      <c r="J5" s="2" t="inlineStr">
        <is>
          <t>2026-10-14</t>
        </is>
      </c>
      <c r="K5" s="2" t="inlineStr">
        <is>
          <t>Silent; no third-party media</t>
        </is>
      </c>
    </row>
    <row r="6">
      <c r="A6" s="2" t="inlineStr">
        <is>
          <t>AR-005</t>
        </is>
      </c>
      <c r="B6" s="2" t="inlineStr">
        <is>
          <t>Type and Verdict specimens; safe-zone overlay</t>
        </is>
      </c>
      <c r="C6" s="2" t="inlineStr">
        <is>
          <t>Image</t>
        </is>
      </c>
      <c r="D6" s="2" t="inlineStr">
        <is>
          <t>Original (tools/render)</t>
        </is>
      </c>
      <c r="E6" s="2" t="inlineStr">
        <is>
          <t>Owned (original work)</t>
        </is>
      </c>
      <c r="F6" s="2" t="inlineStr">
        <is>
          <t>09_Typography_and_Captions/</t>
        </is>
      </c>
      <c r="G6" s="2" t="inlineStr">
        <is>
          <t>Yes</t>
        </is>
      </c>
      <c r="H6" s="2" t="inlineStr">
        <is>
          <t>No</t>
        </is>
      </c>
      <c r="I6" s="2" t="inlineStr">
        <is>
          <t>Production reference</t>
        </is>
      </c>
      <c r="J6" s="2" t="inlineStr">
        <is>
          <t>2026-10-14</t>
        </is>
      </c>
      <c r="K6" s="2" t="inlineStr">
        <is>
          <t>The overlay is a planning aid based on Google's Shorts ads guidance</t>
        </is>
      </c>
    </row>
    <row r="7">
      <c r="A7" s="2" t="inlineStr">
        <is>
          <t>AR-006</t>
        </is>
      </c>
      <c r="B7" s="2" t="inlineStr">
        <is>
          <t>Caption style sheet (worldosphere_caption_styles.ass)</t>
        </is>
      </c>
      <c r="C7" s="2" t="inlineStr">
        <is>
          <t>Text</t>
        </is>
      </c>
      <c r="D7" s="2" t="inlineStr">
        <is>
          <t>Original</t>
        </is>
      </c>
      <c r="E7" s="2" t="inlineStr">
        <is>
          <t>Owned (original work)</t>
        </is>
      </c>
      <c r="F7" s="2" t="inlineStr">
        <is>
          <t>09_Typography_and_Captions/</t>
        </is>
      </c>
      <c r="G7" s="2" t="inlineStr">
        <is>
          <t>Yes</t>
        </is>
      </c>
      <c r="H7" s="2" t="inlineStr">
        <is>
          <t>No</t>
        </is>
      </c>
      <c r="I7" s="2" t="inlineStr">
        <is>
          <t>All episodes</t>
        </is>
      </c>
      <c r="J7" s="2" t="inlineStr">
        <is>
          <t>2026-10-14</t>
        </is>
      </c>
      <c r="K7" s="2" t="inlineStr">
        <is>
          <t>—</t>
        </is>
      </c>
    </row>
    <row r="8">
      <c r="A8" s="2" t="inlineStr">
        <is>
          <t>AR-007</t>
        </is>
      </c>
      <c r="B8" s="2" t="inlineStr">
        <is>
          <t>Worldosphere motif (two-note)</t>
        </is>
      </c>
      <c r="C8" s="2" t="inlineStr">
        <is>
          <t>Audio</t>
        </is>
      </c>
      <c r="D8" s="2" t="inlineStr">
        <is>
          <t>TO BE CREATED (original composition)</t>
        </is>
      </c>
      <c r="E8" s="2" t="inlineStr">
        <is>
          <t>Owned once composed</t>
        </is>
      </c>
      <c r="F8" s="2" t="inlineStr">
        <is>
          <t>00_Library/Audio/MOTIF/ (production)</t>
        </is>
      </c>
      <c r="G8" s="2" t="inlineStr">
        <is>
          <t>Yes once original</t>
        </is>
      </c>
      <c r="H8" s="2" t="inlineStr">
        <is>
          <t>No</t>
        </is>
      </c>
      <c r="I8" s="2" t="inlineStr">
        <is>
          <t>All episodes</t>
        </is>
      </c>
      <c r="J8" s="2" t="inlineStr">
        <is>
          <t>—</t>
        </is>
      </c>
      <c r="K8" s="2" t="inlineStr">
        <is>
          <t>Not yet produced</t>
        </is>
      </c>
    </row>
    <row r="9">
      <c r="A9" s="2" t="inlineStr">
        <is>
          <t>AR-008</t>
        </is>
      </c>
      <c r="B9" s="2" t="inlineStr">
        <is>
          <t>Pulse beds 70/76/90 BPM</t>
        </is>
      </c>
      <c r="C9" s="2" t="inlineStr">
        <is>
          <t>Audio</t>
        </is>
      </c>
      <c r="D9" s="2" t="inlineStr">
        <is>
          <t>TO BE CREATED (original) or a licensed library track</t>
        </is>
      </c>
      <c r="E9" s="2" t="inlineStr">
        <is>
          <t>Depends on source</t>
        </is>
      </c>
      <c r="F9" s="2" t="inlineStr">
        <is>
          <t>—</t>
        </is>
      </c>
      <c r="G9" s="2" t="inlineStr">
        <is>
          <t>Only with a monetization-cleared licence</t>
        </is>
      </c>
      <c r="H9" s="2" t="inlineStr">
        <is>
          <t>Depends</t>
        </is>
      </c>
      <c r="I9" s="2" t="inlineStr">
        <is>
          <t>All episodes</t>
        </is>
      </c>
      <c r="J9" s="2" t="inlineStr">
        <is>
          <t>—</t>
        </is>
      </c>
      <c r="K9" s="2" t="inlineStr">
        <is>
          <t>Avoid claimable music in Shorts over 60 s until the Content ID rule is verified (23 §2)</t>
        </is>
      </c>
    </row>
    <row r="10">
      <c r="A10" s="2" t="inlineStr">
        <is>
          <t>AR-009</t>
        </is>
      </c>
      <c r="B10" s="2" t="inlineStr">
        <is>
          <t>Core SFX set (Fork whoosh/tick; Verdict slide/boom; Sphere bloom)</t>
        </is>
      </c>
      <c r="C10" s="2" t="inlineStr">
        <is>
          <t>Audio</t>
        </is>
      </c>
      <c r="D10" s="2" t="inlineStr">
        <is>
          <t>TO BE CREATED (original Foley) or Sonniss GDC bundle</t>
        </is>
      </c>
      <c r="E10" s="2" t="inlineStr">
        <is>
          <t>Owned / Sonniss licence</t>
        </is>
      </c>
      <c r="F10" s="2" t="inlineStr">
        <is>
          <t>—</t>
        </is>
      </c>
      <c r="G10" s="2" t="inlineStr">
        <is>
          <t>Yes (Sonniss terms as seen; verify the 2026 PDF)</t>
        </is>
      </c>
      <c r="H10" s="2" t="inlineStr">
        <is>
          <t>No</t>
        </is>
      </c>
      <c r="I10" s="2" t="inlineStr">
        <is>
          <t>All episodes</t>
        </is>
      </c>
      <c r="J10" s="2" t="inlineStr">
        <is>
          <t>—</t>
        </is>
      </c>
      <c r="K10" s="2" t="inlineStr">
        <is>
          <t>Keep the Sonniss licence PDF with the files</t>
        </is>
      </c>
    </row>
    <row r="11">
      <c r="A11" s="2" t="inlineStr">
        <is>
          <t>AR-010</t>
        </is>
      </c>
      <c r="B11" s="2" t="inlineStr">
        <is>
          <t>Narrator voice</t>
        </is>
      </c>
      <c r="C11" s="2" t="inlineStr">
        <is>
          <t>Audio</t>
        </is>
      </c>
      <c r="D11" s="2" t="inlineStr">
        <is>
          <t>TO BE DECIDED (own voice / contracted actor / licensed synthetic)</t>
        </is>
      </c>
      <c r="E11" s="2" t="inlineStr">
        <is>
          <t>Depends</t>
        </is>
      </c>
      <c r="F11" s="2" t="inlineStr">
        <is>
          <t>—</t>
        </is>
      </c>
      <c r="G11" s="2" t="inlineStr">
        <is>
          <t>Only with written commercial terms</t>
        </is>
      </c>
      <c r="H11" s="2" t="inlineStr">
        <is>
          <t>Depends</t>
        </is>
      </c>
      <c r="I11" s="2" t="inlineStr">
        <is>
          <t>All episodes</t>
        </is>
      </c>
      <c r="J11" s="2" t="inlineStr">
        <is>
          <t>—</t>
        </is>
      </c>
      <c r="K11" s="2" t="inlineStr">
        <is>
          <t>See 22 §4</t>
        </is>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2026-10-14T07:44:41Z</dcterms:created>
  <dcterms:modified xmlns:dcterms="http://purl.org/dc/terms/" xmlns:xsi="http://www.w3.org/2001/XMLSchema-instance" xsi:type="dcterms:W3CDTF">2026-10-14T07:44:41Z</dcterms:modified>
</cp:coreProperties>
</file>